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202300"/>
  <mc:AlternateContent xmlns:mc="http://schemas.openxmlformats.org/markup-compatibility/2006">
    <mc:Choice Requires="x15">
      <x15ac:absPath xmlns:x15ac="http://schemas.microsoft.com/office/spreadsheetml/2010/11/ac" url="C:\Users\dwell\Desktop\"/>
    </mc:Choice>
  </mc:AlternateContent>
  <xr:revisionPtr revIDLastSave="0" documentId="13_ncr:1_{110670B3-1596-4E38-ABEA-214D551527FE}" xr6:coauthVersionLast="47" xr6:coauthVersionMax="47" xr10:uidLastSave="{00000000-0000-0000-0000-000000000000}"/>
  <bookViews>
    <workbookView xWindow="-120" yWindow="-120" windowWidth="29040" windowHeight="15720" firstSheet="2" activeTab="3" xr2:uid="{09A7D9FC-89CC-4C91-9A37-8913DF7B1044}"/>
  </bookViews>
  <sheets>
    <sheet name="INFOS" sheetId="2" state="hidden" r:id="rId1"/>
    <sheet name="RDV" sheetId="136" state="hidden" r:id="rId2"/>
    <sheet name="Stats" sheetId="137" r:id="rId3"/>
    <sheet name="Entretien" sheetId="24" r:id="rId4"/>
    <sheet name="RECRUTEURS" sheetId="135" state="hidden" r:id="rId5"/>
    <sheet name="PROCEDURE ENTRETIEN" sheetId="99"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5" i="135" l="1"/>
</calcChain>
</file>

<file path=xl/sharedStrings.xml><?xml version="1.0" encoding="utf-8"?>
<sst xmlns="http://schemas.openxmlformats.org/spreadsheetml/2006/main" count="824" uniqueCount="337">
  <si>
    <t>Nom participant</t>
  </si>
  <si>
    <t>Adresse email</t>
  </si>
  <si>
    <t>Fonction au sein de l'entreprise</t>
  </si>
  <si>
    <t>Quel est l'intitulé du poste que vous avez à pourvoir ?</t>
  </si>
  <si>
    <t>Quel niveau d'études recherchez-vous ?</t>
  </si>
  <si>
    <t>Descriptif succinct du poste</t>
  </si>
  <si>
    <t>Quel est le lieu où se déroulera l'alternance ?</t>
  </si>
  <si>
    <t>Détails</t>
  </si>
  <si>
    <t>Apprentissage</t>
  </si>
  <si>
    <t>La Ciotat / Ceyreste</t>
  </si>
  <si>
    <t>6. Master 1</t>
  </si>
  <si>
    <t>Entretien en cours</t>
  </si>
  <si>
    <t>Salle d'Entretien</t>
  </si>
  <si>
    <t>3. Bac</t>
  </si>
  <si>
    <t>Nom de l'entreprise</t>
  </si>
  <si>
    <t>S'agit-il d'un contrat d'apprentissage ou de professionnalisation ?</t>
  </si>
  <si>
    <t>MARTINEZ</t>
  </si>
  <si>
    <t>jessica.martinez@mb92.com</t>
  </si>
  <si>
    <t>ASSISTANT(E) RESSOURCES HUMAINES</t>
  </si>
  <si>
    <t>5. Bac + 3 (LICENCE/BACHELOR)</t>
  </si>
  <si>
    <t>Aix-en-Provence / Aubagne / Marseille / Alentours</t>
  </si>
  <si>
    <t>DIRIGEANT(E)</t>
  </si>
  <si>
    <t>4. Bac + 2 (BTS/DUT/BUT)</t>
  </si>
  <si>
    <t>Num. Salle d'Attente :</t>
  </si>
  <si>
    <t>DIRECTEUR(RICE) RESSOURCES HUMAINES</t>
  </si>
  <si>
    <t>PRESIDENT(E)</t>
  </si>
  <si>
    <t>MOREL</t>
  </si>
  <si>
    <t>cmorel@coda-interim.fr</t>
  </si>
  <si>
    <t>CODA INTERIM</t>
  </si>
  <si>
    <t>DIRECTEUR(RICE) ADMINISTRATIF ET FINANCIER</t>
  </si>
  <si>
    <t>KIEN</t>
  </si>
  <si>
    <t>skien@maskresearch.fr</t>
  </si>
  <si>
    <t>MASK RESEARCH</t>
  </si>
  <si>
    <t>PROCEDURE PAGE ENTRETIEN</t>
  </si>
  <si>
    <t>MISE EN PLACE DES RECRUTEURS</t>
  </si>
  <si>
    <t xml:space="preserve"> - Cliquer sur "SUPPRIMER LES TABLES",</t>
  </si>
  <si>
    <t xml:space="preserve"> - Cocher la case "Proposer un placement de table automatique",</t>
  </si>
  <si>
    <t xml:space="preserve"> - Modifier la disposition proposée si besoin,</t>
  </si>
  <si>
    <t xml:space="preserve"> - Puis cliquer sur "Intégrer un fichier d'Asso Connect" et sélectionner le fichier des recruteurs.</t>
  </si>
  <si>
    <t>ENREGISTRER UN MESSAGE RECUE DU FICHIER "ATTENTE"</t>
  </si>
  <si>
    <t xml:space="preserve"> - Indiquer le numéro reçu de la salle d'ATTENTE dans la cellule de couleur à droite du nom du recruteur.</t>
  </si>
  <si>
    <t>PLACER UN CANDIDAT AVEC UN RECRUTEUR</t>
  </si>
  <si>
    <t xml:space="preserve"> - Indiquer le numero de candidat dans la cellule de couleur a la droite du Recruteur. Un message automatique sera envoyé par Whats App à la Salle ENTRETIEN</t>
  </si>
  <si>
    <t xml:space="preserve"> - En cas d'erreur de saisie, il est possible de supprimer le numéro et en affecter un nouveau si besoin.</t>
  </si>
  <si>
    <t>VALIDER UN ENTRETIEN</t>
  </si>
  <si>
    <t xml:space="preserve"> - Lorsque l'entretien entre le candidat et le recruteur est terminé, indiquer un "0" à la place du numero de candidat afin de valider l'entretien, un message automatique sera envoyé en salle d'ATTENTE indiquant que l'entretien est terminé.</t>
  </si>
  <si>
    <t xml:space="preserve">ATTENTION </t>
  </si>
  <si>
    <t>"</t>
  </si>
  <si>
    <t xml:space="preserve"> - A l'intégration des fichiers "ASSO CONNECT", il est impératif d'intégrer la même extraction dans les fichiers "ACCUEIL", "ATTENTE" et "ENTRETIEN".</t>
  </si>
  <si>
    <t xml:space="preserve"> - Il est conseillé de mettre le même placement de table entre la page "ATTENTE" et "ENTRETIEN".</t>
  </si>
  <si>
    <t xml:space="preserve"> - En cas de défaillance de l'envoi Whats App à la salle d'ATTENTE, saisir à nouveau le numero de candidat en face du recruteur puis appuyer sur la touche "ENTREE" et saisir a nouveau "0" puis appuyer sur "ENTREE".</t>
  </si>
  <si>
    <t>Paiement</t>
  </si>
  <si>
    <t>POMMIER</t>
  </si>
  <si>
    <t>Paiement reçu</t>
  </si>
  <si>
    <t>eleaprovauto@gmail.com</t>
  </si>
  <si>
    <t>ASSISTANT(E) ADMINISTRATIF</t>
  </si>
  <si>
    <t>https://laciotat-entreprendre.assoconnect.com/collect/registrants/detail/19211414</t>
  </si>
  <si>
    <t>GUENEBAUD</t>
  </si>
  <si>
    <t>pgu@fluiidd.com</t>
  </si>
  <si>
    <t>FLUIIDD</t>
  </si>
  <si>
    <t>Développement de logiciels embarqués sur processeur STM32 (et d'autres) Programmation temps réel et optimisation des performances Conception et implémentation de firmwares Tests, validation et documentation du code</t>
  </si>
  <si>
    <t>https://laciotat-entreprendre.assoconnect.com/collect/registrants/detail/19194307</t>
  </si>
  <si>
    <t>https://laciotat-entreprendre.assoconnect.com/collect/registrants/detail/19194305</t>
  </si>
  <si>
    <t>https://laciotat-entreprendre.assoconnect.com/collect/registrants/detail/19194293</t>
  </si>
  <si>
    <t>Assister le service Achats pour le Développement Fournisseurs</t>
  </si>
  <si>
    <t>https://laciotat-entreprendre.assoconnect.com/collect/registrants/detail/19165003</t>
  </si>
  <si>
    <t>Assister le Chef de Bord</t>
  </si>
  <si>
    <t>https://laciotat-entreprendre.assoconnect.com/collect/registrants/detail/19164455</t>
  </si>
  <si>
    <t>EUPHRASIE</t>
  </si>
  <si>
    <t>contact@dynamiclangues.com</t>
  </si>
  <si>
    <t>DYNAMIC LANGUES</t>
  </si>
  <si>
    <t>ASSISTANT(E) AFFAIRES / DVP / COMMERCIAL</t>
  </si>
  <si>
    <t>Accueille, informe le public sur place ou par téléphone. Promeut efficacement les offres de l'entreprise auprès de clients fidélisés ou de prospects. Organise l'agenda des rendez-vous, le planning des cours et des tests. Gestion des tâches administratives</t>
  </si>
  <si>
    <t>https://laciotat-entreprendre.assoconnect.com/collect/registrants/detail/19129899</t>
  </si>
  <si>
    <t>MICAELLI</t>
  </si>
  <si>
    <t>rhtt@coda-interim.fr</t>
  </si>
  <si>
    <t>En relation avec le/la Consultant(e) commercial(e) en recrutement et le Pôle Gestion.  ADMNISTRATION DU PERSONNEL :  -	Traiter la partie administrative et contractuelle des contrats intérimaires : sécuriser les prestations par les contrats et les déclarations d’embauche, acomptes, payes et factures, suivi des heures, gestion et suivi des visites médicales et des formations, traitement des AM/AT, documents de fin de mission…  PAIE / COMPTABILITE :  -	Aide à la préparation et au contrôle des bulletins de paie intérimaires.</t>
  </si>
  <si>
    <t>https://laciotat-entreprendre.assoconnect.com/collect/registrants/detail/19126417</t>
  </si>
  <si>
    <t>-	Suivi et organisation des bases de données prospections -	Prise de rendez-vous téléphoniques pour le compte de nos agences -	Animation d'incentive commerciaux -	Participation aux évènements professionnels</t>
  </si>
  <si>
    <t>BRUNETTO</t>
  </si>
  <si>
    <t>mbrunetto@monacomarine.com</t>
  </si>
  <si>
    <t>MONACO MARINE LA CIOTAT</t>
  </si>
  <si>
    <t>CHEF(FE)  SERVICE</t>
  </si>
  <si>
    <t>L’électrotechnicien(ne) s'occupe du transport, de la distribution, du traitement, de la transformation, de la gestion et de l’utilisation de l’énergie électrique à bord des bateaux ou du site.</t>
  </si>
  <si>
    <t>https://laciotat-entreprendre.assoconnect.com/collect/registrants/detail/19102666</t>
  </si>
  <si>
    <t>PAOLI</t>
  </si>
  <si>
    <t>bpaoli@monacomarine.com</t>
  </si>
  <si>
    <t>Le/La Technicien(ne) de Maintenance Industrielle réalise l’entretien, la maintenance préventive et corrective de l’ensemble des installations, infrastructures et moyens opérationnels du site, ainsi que la réalisation ou l’accompagnement/suivi des travaux neufs. Il est pluridisciplinaire afin d’intervenir ou encadrer des prestations de maintenance mécanique, électrique, hydraulique…</t>
  </si>
  <si>
    <t>VARVARAIS</t>
  </si>
  <si>
    <t>sabrina.varvarais@eoliagroupe.com</t>
  </si>
  <si>
    <t>Le poste en alternance consiste à soutenir le suivi et la coordination des projets en apprenant à identifier les besoins des clients et à élaborer des cahiers des charges. Vous serez formé à analyser les risques et contraintes, à réaliser des chiffrages (budget, devis) et à coordonner les opérations. Vous participerez également à la création de documents techniques (plaquettes, protocoles, DOE) et à la gestion de la qualité. Vous assisterez les équipes techniques sur site et participerez à l’organisation des réceptions d’interventions tout en apportant un soutien technique aux clients et aux équipes.</t>
  </si>
  <si>
    <t>https://laciotat-entreprendre.assoconnect.com/collect/registrants/detail/19049161</t>
  </si>
  <si>
    <t>TERRIER</t>
  </si>
  <si>
    <t>christophe.terrier@thalesgroup.com</t>
  </si>
  <si>
    <t>THALES GROUP</t>
  </si>
  <si>
    <t>CHARGE(E) MISSION QHSE</t>
  </si>
  <si>
    <t>Les missions de l’alternance seront d’accompagner le responsable HSE en : •	Participant à l'évaluation des risques professionnels et environnementaux : identifier les dangers, analyser les risques et proposer des mesures de prévention adaptées. •	Participant à la mise à jour du document unique et de l’analyse environnemental du site •	Sensibilisant et formant le personnel aux règles de sécurité : animer des sessions de formation, concevoir des supports pédagogiques et diffuser les informations clés. •	En charge de la mise à jour du dossier CARSAT, pour obtenir la ristourne trajet •	Organisation de la journée sécurité routière</t>
  </si>
  <si>
    <t>https://laciotat-entreprendre.assoconnect.com/collect/registrants/detail/19040516</t>
  </si>
  <si>
    <t>TAROT</t>
  </si>
  <si>
    <t>s.tarot@cpie-coteprovencale.fr</t>
  </si>
  <si>
    <t>ATELIER BLEU - CPIE COTE PROVENCALE</t>
  </si>
  <si>
    <t>L’étudiant.e sera intégré.e à l'équipe comme chargé.e de communication et interviendra de façon transversale sur tous les métiers de la communication : print, éditorial, relations presse, digital. Il/elle aura en charge la gestion et le suivi du retroplanning de publications, évènements organisés, et garantira la cohérence de la ligne éditoriale. Il/elle participera à la définition des messages, moyens et supports adaptés pour communiquer sur les actions, projets et événements de l’association aux différents publics visés.</t>
  </si>
  <si>
    <t>https://laciotat-entreprendre.assoconnect.com/collect/registrants/detail/19038357</t>
  </si>
  <si>
    <t>HILI</t>
  </si>
  <si>
    <t>lisa.hili@hotmail.fr</t>
  </si>
  <si>
    <t>Vous aurez en charge l’accueil de la salle, le standard téléphonique, ainsi que du secrétariat.</t>
  </si>
  <si>
    <t>https://laciotat-entreprendre.assoconnect.com/collect/registrants/detail/18991512</t>
  </si>
  <si>
    <t>Recherche et préqualification de candidats Cadres en France</t>
  </si>
  <si>
    <t>https://laciotat-entreprendre.assoconnect.com/collect/registrants/detail/18955172</t>
  </si>
  <si>
    <t>BOUZEMANE</t>
  </si>
  <si>
    <t>ebouzemane@maskresearch.fr</t>
  </si>
  <si>
    <t>BEAUFILS</t>
  </si>
  <si>
    <t>engineering@moxylaciotat.com</t>
  </si>
  <si>
    <t>MOXY</t>
  </si>
  <si>
    <t>Agent de maintenance</t>
  </si>
  <si>
    <t>2. BEP</t>
  </si>
  <si>
    <t>L’agent de maintenance assure l’entretien et le bon fonctionnement des équipements techniques de l’hôtel (électricité, plomberie, climatisation, menuiserie, etc.). Il intervient en prévention et en réparation pour garantir le confort des clients et la sécurité des installations.</t>
  </si>
  <si>
    <t>https://laciotat-entreprendre.assoconnect.com/collect/registrants/detail/18948638</t>
  </si>
  <si>
    <t>Meet &amp; Match 2025</t>
  </si>
  <si>
    <t>L'ESPACE FITNESS ET PILATES</t>
  </si>
  <si>
    <t>Adhérent La Ciotat Entreprendre</t>
  </si>
  <si>
    <t>Téléphone mobile</t>
  </si>
  <si>
    <t>0</t>
  </si>
  <si>
    <t>+33624991899</t>
  </si>
  <si>
    <t>Conseiller en prospection commerciale - secteur auto</t>
  </si>
  <si>
    <t>+33685337250</t>
  </si>
  <si>
    <t>Offre d’Alternance – Ingénieur(e) Développement Logiciel Embarqué</t>
  </si>
  <si>
    <t>+33788944895</t>
  </si>
  <si>
    <t>Apprenti Assistant Développement Fournisseurs F/H</t>
  </si>
  <si>
    <t>Apprenti Assistant Chef de Bord</t>
  </si>
  <si>
    <t>+33673736449</t>
  </si>
  <si>
    <t>Assistant Administratif et commercial (H/F)</t>
  </si>
  <si>
    <t>+33658793249</t>
  </si>
  <si>
    <t>Assistant Comptable</t>
  </si>
  <si>
    <t>Attaché Commercial sédentaire</t>
  </si>
  <si>
    <t>+33642439662</t>
  </si>
  <si>
    <t>Electrotechnicien</t>
  </si>
  <si>
    <t>Technicien Maintenance Industrielle</t>
  </si>
  <si>
    <t>+33658108639</t>
  </si>
  <si>
    <t>AlTERNANCE CHARGE D'AFFAIRES</t>
  </si>
  <si>
    <t>+33646828201</t>
  </si>
  <si>
    <t>Alternant HSE</t>
  </si>
  <si>
    <t>+33628059211</t>
  </si>
  <si>
    <t>Chargée de communication</t>
  </si>
  <si>
    <t>+33634149499</t>
  </si>
  <si>
    <t>Assistante direction</t>
  </si>
  <si>
    <t>+33782936756</t>
  </si>
  <si>
    <t>Chargée de recrutement</t>
  </si>
  <si>
    <t>+33695095459</t>
  </si>
  <si>
    <t>+33675942902</t>
  </si>
  <si>
    <t>MB92 LA CIOTAT</t>
  </si>
  <si>
    <t>001</t>
  </si>
  <si>
    <t>002</t>
  </si>
  <si>
    <t>003</t>
  </si>
  <si>
    <t>004</t>
  </si>
  <si>
    <t>005</t>
  </si>
  <si>
    <t>006</t>
  </si>
  <si>
    <t>007</t>
  </si>
  <si>
    <t>BONNET</t>
  </si>
  <si>
    <t>h5484@accor.com</t>
  </si>
  <si>
    <t>+33666016170</t>
  </si>
  <si>
    <t>IBIS</t>
  </si>
  <si>
    <t>Comptabilité/RH</t>
  </si>
  <si>
    <t>Gestion financière/Accompagnement des salariés.</t>
  </si>
  <si>
    <t>https://laciotat-entreprendre.assoconnect.com/collect/registrants/detail/19334466</t>
  </si>
  <si>
    <t>Communication</t>
  </si>
  <si>
    <t>Réseaux sociaux, Web, Management de projet.</t>
  </si>
  <si>
    <t>https://laciotat-entreprendre.assoconnect.com/collect/registrants/detail/19334387</t>
  </si>
  <si>
    <t>MARQUAND-AUBES</t>
  </si>
  <si>
    <t>marilyne.marquand-aubes@thalesgroup.com</t>
  </si>
  <si>
    <t>+33698107520</t>
  </si>
  <si>
    <t>Ingénieur ERP Finance</t>
  </si>
  <si>
    <t>Accompagnement sur la partie Finance et master data finance.</t>
  </si>
  <si>
    <t>Bouches du Rhône</t>
  </si>
  <si>
    <t>https://laciotat-entreprendre.assoconnect.com/collect/registrants/detail/19334266</t>
  </si>
  <si>
    <t>Process spécialiste</t>
  </si>
  <si>
    <t>Participer aux principales responsabilités et tâches du spécialiste Processus.</t>
  </si>
  <si>
    <t>https://laciotat-entreprendre.assoconnect.com/collect/registrants/detail/19334219</t>
  </si>
  <si>
    <t>Contrôle</t>
  </si>
  <si>
    <t>Analyse des appels d'offres internationaux.</t>
  </si>
  <si>
    <t>https://laciotat-entreprendre.assoconnect.com/collect/registrants/detail/19334174</t>
  </si>
  <si>
    <t>Graphiste</t>
  </si>
  <si>
    <t>Intégrer les technologies numériques et optimiser nos processus.</t>
  </si>
  <si>
    <t>https://laciotat-entreprendre.assoconnect.com/collect/registrants/detail/19334126</t>
  </si>
  <si>
    <t>Production</t>
  </si>
  <si>
    <t>Vérification de la conformité des produits.</t>
  </si>
  <si>
    <t>https://laciotat-entreprendre.assoconnect.com/collect/registrants/detail/19334082</t>
  </si>
  <si>
    <t>Logistique</t>
  </si>
  <si>
    <t>Organiser et optimiser des stocks et flux.</t>
  </si>
  <si>
    <t>https://laciotat-entreprendre.assoconnect.com/collect/registrants/detail/19334029</t>
  </si>
  <si>
    <t>Industrie</t>
  </si>
  <si>
    <t>Gestion du parc et plateforme</t>
  </si>
  <si>
    <t>https://laciotat-entreprendre.assoconnect.com/collect/registrants/detail/19333992</t>
  </si>
  <si>
    <t>Ressources humaines</t>
  </si>
  <si>
    <t>Accompagnement des managers et des salariés.</t>
  </si>
  <si>
    <t>https://laciotat-entreprendre.assoconnect.com/collect/registrants/detail/19333935</t>
  </si>
  <si>
    <t>Analyse Industrie</t>
  </si>
  <si>
    <t>Collecte, triage et classement des rapports.</t>
  </si>
  <si>
    <t>https://laciotat-entreprendre.assoconnect.com/collect/registrants/detail/19333884</t>
  </si>
  <si>
    <t>Marketing, Communication</t>
  </si>
  <si>
    <t>Réseaux sociaux. Web. Management de projet.</t>
  </si>
  <si>
    <t>https://laciotat-entreprendre.assoconnect.com/collect/registrants/detail/19333817</t>
  </si>
  <si>
    <t>Cybersécurité</t>
  </si>
  <si>
    <t>Détection. Protection</t>
  </si>
  <si>
    <t>https://laciotat-entreprendre.assoconnect.com/collect/registrants/detail/19333788</t>
  </si>
  <si>
    <t>MORAND</t>
  </si>
  <si>
    <t>guillaume.morand@sigmaindustries.fr</t>
  </si>
  <si>
    <t>+33627113810</t>
  </si>
  <si>
    <t>SIGMA</t>
  </si>
  <si>
    <t>Comptabilité</t>
  </si>
  <si>
    <t>Gestion financière</t>
  </si>
  <si>
    <t>https://laciotat-entreprendre.assoconnect.com/collect/registrants/detail/19333579</t>
  </si>
  <si>
    <t>DERRIEN</t>
  </si>
  <si>
    <t>yannicke.derrien@shiva.fr</t>
  </si>
  <si>
    <t>+33785935819</t>
  </si>
  <si>
    <t>DIVI SERVICES</t>
  </si>
  <si>
    <t>un(e) chargé(e) de recrutement et de clientèle en Alternance</t>
  </si>
  <si>
    <t>Professionalisation</t>
  </si>
  <si>
    <t>En étroite collaboration avec la Directrice et une collaboratrice, tes missions en tant que chargé(e) de recrutement et de clientèle en Alternance seront :   	Développement du portefeuille clients : décrocher des rendez-vous au domicile, respecter le process de vente Shiva, convertir vos prospects par un discours qualitatif et percutant, capacité à répondre aux objections, faire preuve de réactivité dans les appels, les relances.  	Recherches de prescripteurs pour augmenter la notoriété de l’agence : commerçants, profession libérales, associations locales etc..   	Réalisation et optimisation des plannings d’intervention (gestion des absences et remplacements)   		Sélection et intégration des intervenants : traitement des candidatures, entretiens de sélection, tests ménage et repassage  	Visite à domicile (définition du besoin, liste des envies, vente-conseil, traitement des objections, présentation des intervenants chez les clients)  	Suivi de la qualité des interventions et de la satisfaction clients et employés de maison (appels 1ères prestations et appels 1ères interventions, visite qualité au domicile, réponse aux insatisfactions clients et intervenants)  	Réalisation d’objectifs SMART (spécifiques, mesurables, atteignables, réalistes, temporellement définis) en collaboration avec la direction  	Mise en place d’une communication locale (réseaux sociaux etc..), sponsoring, •	Animation de l’agence : fête de noël, halloween, gouter etc.   Esprit d’équipe, gout du challenge, force de proposition, créativité et vos qualités humaines seront indispensables pour cette mission.  	Conditions : préparer en alternance un master  	Salaire selon convention du contrat d’alternance 	Primes sur Objectifs  	Tickets restaurants 	Permis B et voiture personnelle obligatoire</t>
  </si>
  <si>
    <t>Toulon / La Seyne sur Mer / Bandol / Alentours</t>
  </si>
  <si>
    <t>https://laciotat-entreprendre.assoconnect.com/collect/registrants/detail/19332244</t>
  </si>
  <si>
    <t>Concepteur Pédagogique Digital Learning</t>
  </si>
  <si>
    <t>Concevoir et développer des modules E-Learning. Réaliser la captation et le montage de vidéos. Contrôler la qualité des contenus produits. Gérer la publication des cours sur le LMS.</t>
  </si>
  <si>
    <t>https://laciotat-entreprendre.assoconnect.com/collect/registrants/detail/19331811</t>
  </si>
  <si>
    <t>Analyse des données</t>
  </si>
  <si>
    <t>Améliorer le reporting, le développement ou l'amélioration des rapports. Accompagner les utilisateurs CRM/MCS. Identifier les insights et leurs implications.</t>
  </si>
  <si>
    <t>https://laciotat-entreprendre.assoconnect.com/collect/registrants/detail/19331769</t>
  </si>
  <si>
    <t>Business Efficiency Coordinateur</t>
  </si>
  <si>
    <t>Mener des actions d'amélioration des processus et des outils, assurer la maintenance des outils, gérer et améliorer les KPIS's, contribuer à l'amélioration des articles de communication.</t>
  </si>
  <si>
    <t>https://laciotat-entreprendre.assoconnect.com/collect/registrants/detail/19331715</t>
  </si>
  <si>
    <t>Marketing/Business Intelligence</t>
  </si>
  <si>
    <t>Maintenance et évolution du déploiement d'une plateforme, assurer la segmentation du marché.</t>
  </si>
  <si>
    <t>https://laciotat-entreprendre.assoconnect.com/collect/registrants/detail/19331659</t>
  </si>
  <si>
    <t>DEV.OPS Engineer</t>
  </si>
  <si>
    <t>Suivi de l'avancement et sécurité des travaux, respecter les principes agiles, garantir la sécurité des données.</t>
  </si>
  <si>
    <t>https://laciotat-entreprendre.assoconnect.com/collect/registrants/detail/19331633</t>
  </si>
  <si>
    <t>R.H Généraliste</t>
  </si>
  <si>
    <t>Accompagnement des managers et salariés, soutenir les HR Business Partners, assister l'assistante R.H, organiser évènements R.H.</t>
  </si>
  <si>
    <t>https://laciotat-entreprendre.assoconnect.com/collect/registrants/detail/19331600</t>
  </si>
  <si>
    <t>Accélérateur d'innovation</t>
  </si>
  <si>
    <t>Réseaux, animation, stratégie technique et technologique</t>
  </si>
  <si>
    <t>https://laciotat-entreprendre.assoconnect.com/collect/registrants/detail/19331577</t>
  </si>
  <si>
    <t>Business Process Management Configuration</t>
  </si>
  <si>
    <t>Implémenter dans Boomi des parties du processus, reporter au product owner de l'outil, préparer des ajustements.</t>
  </si>
  <si>
    <t>https://laciotat-entreprendre.assoconnect.com/collect/registrants/detail/19331510</t>
  </si>
  <si>
    <t>THOM</t>
  </si>
  <si>
    <t>charlotte.thom@vitalliance.fr</t>
  </si>
  <si>
    <t>+33761554531</t>
  </si>
  <si>
    <t>VITALLIANCE</t>
  </si>
  <si>
    <t>AUXILIAIRE DE VIE</t>
  </si>
  <si>
    <t>1. CAP</t>
  </si>
  <si>
    <t>En tant qu'auxiliaire de vie, vous interviendrez directement au domicile des personnes fragilisées et en perte d'autonomie, que ce soit auprès de personnes âgées, de personnes en situation de handicap ou souffrant d'une pathologie.</t>
  </si>
  <si>
    <t>https://laciotat-entreprendre.assoconnect.com/collect/registrants/detail/19323747</t>
  </si>
  <si>
    <t>https://laciotat-entreprendre.assoconnect.com/collect/registrants/detail/19323694</t>
  </si>
  <si>
    <t>CONIGLIO</t>
  </si>
  <si>
    <t>conigliocoiffure@gmail.com</t>
  </si>
  <si>
    <t>+33615762542</t>
  </si>
  <si>
    <t>CONIGLIO COIFFURE</t>
  </si>
  <si>
    <t>apprenti</t>
  </si>
  <si>
    <t>apprentissage</t>
  </si>
  <si>
    <t>https://laciotat-entreprendre.assoconnect.com/collect/registrants/detail/19323050</t>
  </si>
  <si>
    <t>CLIMENT</t>
  </si>
  <si>
    <t>lea.climent@efer.com</t>
  </si>
  <si>
    <t>+33627673917</t>
  </si>
  <si>
    <t>EFER</t>
  </si>
  <si>
    <t>RESPONSABLE RSE</t>
  </si>
  <si>
    <t>Alternant méthode industrielle</t>
  </si>
  <si>
    <t>Gestion système documentaire , mis à jours des dossiers de produits, projet de transition numérique (GED), amélioration continue</t>
  </si>
  <si>
    <t>https://laciotat-entreprendre.assoconnect.com/collect/registrants/detail/19317250</t>
  </si>
  <si>
    <t>ROSSO</t>
  </si>
  <si>
    <t>leo@demrosso.fr</t>
  </si>
  <si>
    <t>+33671764314</t>
  </si>
  <si>
    <t>DEMENAGEMENTS ROSSO</t>
  </si>
  <si>
    <t>Alternant(e) Communication et Marketing Digital</t>
  </si>
  <si>
    <t>Déménagements Rosso recherche un(e) alternant(e) en communication et marketing digital pour participer activement à sa stratégie de visibilité en ligne. Intégré(e) à une équipe engagée et dynamique, il/elle contribuera à la création de contenus, à l’animation des réseaux sociaux et à l’optimisation du site web. Ce poste offre une belle opportunité de mettre en pratique leurs compétences créatives et digitales dans un cadre stimulant, où les idées nouvelles sont les bienvenues et valorisées.</t>
  </si>
  <si>
    <t>https://laciotat-entreprendre.assoconnect.com/collect/registrants/detail/19316697</t>
  </si>
  <si>
    <t>LEMAIRE</t>
  </si>
  <si>
    <t>d.lemaire@amfd13.org</t>
  </si>
  <si>
    <t>+33608227657</t>
  </si>
  <si>
    <t>AMFD13</t>
  </si>
  <si>
    <t>Technicien de l'intervention sociale et familiale</t>
  </si>
  <si>
    <t>Technicien d'Intervention Sociale et Familiale</t>
  </si>
  <si>
    <t>https://laciotat-entreprendre.assoconnect.com/collect/registrants/detail/19314493</t>
  </si>
  <si>
    <t>RIGAUD</t>
  </si>
  <si>
    <t>sarlcapvert@bbox.fr</t>
  </si>
  <si>
    <t>+33623168007</t>
  </si>
  <si>
    <t>CAP VERT</t>
  </si>
  <si>
    <t>ALTERNANCE FORESTIER ET AMENAGEMENT PAYSAGER</t>
  </si>
  <si>
    <t>AMENAGEMENT PAYSAGER / ELAGAGE ABATTAGE DEBROUSSAILLAGE</t>
  </si>
  <si>
    <t>https://laciotat-entreprendre.assoconnect.com/collect/registrants/detail/19313828</t>
  </si>
  <si>
    <t>FLORENCE</t>
  </si>
  <si>
    <t>florence.oum@la-communaute.org</t>
  </si>
  <si>
    <t>+33662306575</t>
  </si>
  <si>
    <t>LA COMMUNAUTE</t>
  </si>
  <si>
    <t>Assistante de vie aux familles</t>
  </si>
  <si>
    <t>Accompagnement, prise des repas, aide à la mobilité, prendre soins de la personne</t>
  </si>
  <si>
    <t>https://laciotat-entreprendre.assoconnect.com/collect/registrants/detail/19313732</t>
  </si>
  <si>
    <t>GRONDEAU</t>
  </si>
  <si>
    <t>recrutement.aubagne@family-sphere.fr</t>
  </si>
  <si>
    <t>+33785843007</t>
  </si>
  <si>
    <t>FAMILY SPHERE LA CIOTAT</t>
  </si>
  <si>
    <t>CAP AEPE - Accompagnant Educatif Petite Enfance!</t>
  </si>
  <si>
    <t>Vous souhaitez vous former dans le secteur de la petite enfance, et acquérir de l’expérience auprès des enfants de 0 à 6 ans ?  L’agence Family Sphere d’Aubagne-La Ciotat, spécialisée dans la garde d’enfant à domicile, vous propose de passer le CAP AEPE (Accompagnant Educatif Petite Enfance) pour l’année 2025/2026.  Vous serez au centre de formation en matinée et en garde auprès des enfants sur les temps périscolaires.</t>
  </si>
  <si>
    <t>https://laciotat-entreprendre.assoconnect.com/collect/registrants/detail/19298903</t>
  </si>
  <si>
    <t>CONTICELLO</t>
  </si>
  <si>
    <t>brigitte.conticello@yahoo.fr</t>
  </si>
  <si>
    <t>+33662093831</t>
  </si>
  <si>
    <t>MAISONS LEO</t>
  </si>
  <si>
    <t>Digital/communication/réseau</t>
  </si>
  <si>
    <t>Gestion des réseaux/évènementiels</t>
  </si>
  <si>
    <t>https://laciotat-entreprendre.assoconnect.com/collect/registrants/detail/19296899</t>
  </si>
  <si>
    <t>LEVIS</t>
  </si>
  <si>
    <t>aifcp13@gmail.com</t>
  </si>
  <si>
    <t>+33670910939</t>
  </si>
  <si>
    <t>AIFCP</t>
  </si>
  <si>
    <t>Recherche alternant pour BTS Communication</t>
  </si>
  <si>
    <t>création de contenus, gestion des réseaux sociaux, de l'évènementiel...</t>
  </si>
  <si>
    <t>https://laciotat-entreprendre.assoconnect.com/collect/registrants/detail/19296473</t>
  </si>
  <si>
    <t>LANGAGNE</t>
  </si>
  <si>
    <t>marie-noelle.langagne@mpi-ingredients.com</t>
  </si>
  <si>
    <t>+33649444643</t>
  </si>
  <si>
    <t>MPI INGREDIENTS</t>
  </si>
  <si>
    <t>DIRECTEUR(RICE) COMMUNICATION / MARKETING</t>
  </si>
  <si>
    <t>ASSITANT(E) DES VENTES / COMMERCIAL</t>
  </si>
  <si>
    <t>Prospection commerciale (phoning, e-mailing), gestion et suivi de prospection, offres et des ventes. Mise à jour des fichiers prospection et qualité.</t>
  </si>
  <si>
    <t>https://laciotat-entreprendre.assoconnect.com/collect/registrants/detail/19294718</t>
  </si>
  <si>
    <t>TRANSAKAUTO</t>
  </si>
  <si>
    <t>Les missions principales : Prospection téléphonique : Contacter les propriétaires mettant leur véhicule en vente (notamment via Leboncoin) pour leur proposer nos services.  Gestion de l’agenda : Planifier les rendez-vous clients et les visites de véhicules.  Accueil et relation client : Assurer un contact professionnel avec les clients, que ce soit en physique ou par téléphone.  Gestion des mails et suivis commerciaux.  Réassort du parc automobile : Organisation dynamique des véhicules sur site, affichage des prix, mise en valeur du parc.  Logistique véhicules : Déplacements pour nettoyage / pressing auto si besoin.  Rentrée de mandats : Saisie et gestion des dossiers via nos logiciels professionnels.  Prise de photos des véhicules destinés à la vente (pour nos annonces).  Animation des réseaux sociaux : Participation à la création de contenu et à la publication.  Présentation et visites : Accompagnement des clients lors de la découverte de nos véhicules en stock.</t>
  </si>
  <si>
    <t>EOLIA</t>
  </si>
  <si>
    <t xml:space="preserve"> </t>
  </si>
  <si>
    <t/>
  </si>
  <si>
    <t>Statistiques des RDV</t>
  </si>
  <si>
    <t>RDV Totaux</t>
  </si>
  <si>
    <t>Entreprise</t>
  </si>
  <si>
    <t>Total RDV</t>
  </si>
  <si>
    <t>Moyenne RDV / Entreprise</t>
  </si>
  <si>
    <t>Moyenne RDV / Candidat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</si>
</sst>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24" x14ac:knownFonts="1">
    <font>
      <sz val="11"/>
      <color theme="1"/>
      <name val="Aptos Narrow"/>
      <family val="2"/>
      <scheme val="minor"/>
    </font>
    <font>
      <sz val="11"/>
      <color theme="0"/>
      <name val="Aptos Narrow"/>
      <family val="2"/>
      <scheme val="minor"/>
    </font>
    <font>
      <sz val="14"/>
      <color theme="0"/>
      <name val="Aptos Narrow"/>
      <family val="2"/>
      <scheme val="minor"/>
    </font>
    <font>
      <sz val="14"/>
      <color rgb="FF92D050"/>
      <name val="Aptos Narrow"/>
      <family val="2"/>
      <scheme val="minor"/>
    </font>
    <font>
      <sz val="48"/>
      <color rgb="FF006C89"/>
      <name val="ADLaM Display"/>
    </font>
    <font>
      <sz val="14"/>
      <color theme="1"/>
      <name val="Aptos Narrow"/>
      <family val="2"/>
      <scheme val="minor"/>
    </font>
    <font>
      <sz val="28"/>
      <color rgb="FF006C89"/>
      <name val="ADLaM Display"/>
    </font>
    <font>
      <b/>
      <sz val="14"/>
      <color rgb="FF006C8A"/>
      <name val="ADLaM Display"/>
    </font>
    <font>
      <b/>
      <sz val="14"/>
      <color rgb="FF006C89"/>
      <name val="ADLaM Display"/>
    </font>
    <font>
      <b/>
      <sz val="16"/>
      <color rgb="FF92D050"/>
      <name val="ADLaM Display"/>
    </font>
    <font>
      <b/>
      <sz val="16"/>
      <color rgb="FF92D050"/>
      <name val="Aptos Narrow"/>
      <family val="2"/>
      <scheme val="minor"/>
    </font>
    <font>
      <sz val="11"/>
      <color rgb="FF000000"/>
      <name val="Aptos Narrow"/>
      <family val="2"/>
      <scheme val="minor"/>
    </font>
    <font>
      <b/>
      <sz val="14"/>
      <color rgb="FFFFFFFF"/>
      <name val="ADLaM Display"/>
    </font>
    <font>
      <b/>
      <sz val="14"/>
      <color rgb="FF92D050"/>
      <name val="Aptos Narrow"/>
      <family val="2"/>
      <scheme val="minor"/>
    </font>
    <font>
      <b/>
      <sz val="14"/>
      <color rgb="FFFFFFFF"/>
      <name val="Aptos Narrow"/>
      <family val="2"/>
      <scheme val="minor"/>
    </font>
    <font>
      <b/>
      <sz val="14"/>
      <color rgb="FF92D050"/>
      <name val="ADLaM Display"/>
    </font>
    <font>
      <sz val="11"/>
      <color rgb="FF006C89"/>
      <name val="ADLaM Display"/>
    </font>
    <font>
      <sz val="16"/>
      <color rgb="FFB5163F"/>
      <name val="ADLaM Display"/>
    </font>
    <font>
      <sz val="11"/>
      <color rgb="FF00FF00"/>
      <name val="Aptos Narrow"/>
      <family val="2"/>
      <scheme val="minor"/>
    </font>
    <font>
      <sz val="14"/>
      <color rgb="FF006C89"/>
      <name val="ADLaM Display"/>
    </font>
    <font>
      <sz val="14"/>
      <color rgb="FFB5163F"/>
      <name val="Arial Rounded MT Bold"/>
      <family val="2"/>
    </font>
    <font>
      <sz val="11"/>
      <color theme="1"/>
      <name val="Aptos"/>
      <family val="2"/>
    </font>
    <font>
      <sz val="10"/>
      <color rgb="FF006C89"/>
      <name val="Arial Rounded MT Bold"/>
      <family val="2"/>
    </font>
    <font>
      <b/>
      <sz val="11"/>
      <color theme="1"/>
      <name val="Aptos Narrow"/>
      <family val="2"/>
      <scheme val="minor"/>
    </font>
  </fonts>
  <fills count="5">
    <fill>
      <patternFill patternType="none"/>
    </fill>
    <fill>
      <patternFill patternType="gray125"/>
    </fill>
    <fill>
      <patternFill patternType="solid">
        <fgColor rgb="FFFFC000"/>
        <bgColor indexed="64"/>
      </patternFill>
    </fill>
    <fill>
      <patternFill patternType="solid">
        <fgColor rgb="FFFFFFFF"/>
        <bgColor indexed="64"/>
      </patternFill>
    </fill>
    <fill>
      <patternFill patternType="solid">
        <fgColor rgb="FF006C89"/>
        <bgColor indexed="64"/>
      </patternFill>
    </fill>
  </fills>
  <borders count="6">
    <border>
      <left/>
      <right/>
      <top/>
      <bottom/>
      <diagonal/>
    </border>
    <border>
      <left/>
      <right/>
      <top/>
      <bottom style="medium">
        <color rgb="FFB5163F"/>
      </bottom>
      <diagonal/>
    </border>
    <border>
      <left/>
      <right/>
      <top style="medium">
        <color rgb="FFB5163F"/>
      </top>
      <bottom/>
      <diagonal/>
    </border>
    <border>
      <left/>
      <right/>
      <top style="thin">
        <color theme="4"/>
      </top>
      <bottom/>
      <diagonal/>
    </border>
    <border>
      <left style="thin">
        <color rgb="FF000000"/>
      </left>
      <right style="thin">
        <color rgb="FF000000"/>
      </right>
      <top style="thin">
        <color rgb="FF000000"/>
      </top>
      <bottom style="thin">
        <color rgb="FF000000"/>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56">
    <xf numFmtId="0" fontId="0" fillId="0" borderId="0" xfId="0"/>
    <xf numFmtId="0" fontId="1" fillId="0" borderId="0" xfId="0" applyFont="1"/>
    <xf numFmtId="164" fontId="2" fillId="0" borderId="0" xfId="0" applyNumberFormat="1" applyFont="1" applyProtection="1">
      <protection locked="0"/>
    </xf>
    <xf numFmtId="164" fontId="3" fillId="0" borderId="0" xfId="0" applyNumberFormat="1" applyFont="1"/>
    <xf numFmtId="164" fontId="3" fillId="0" borderId="0" xfId="0" applyNumberFormat="1" applyFont="1" applyProtection="1">
      <protection locked="0"/>
    </xf>
    <xf numFmtId="0" fontId="1" fillId="0" borderId="0" xfId="0" applyFont="1" applyProtection="1">
      <protection locked="0"/>
    </xf>
    <xf numFmtId="164" fontId="1" fillId="0" borderId="0" xfId="0" applyNumberFormat="1" applyFont="1" applyProtection="1">
      <protection locked="0"/>
    </xf>
    <xf numFmtId="164" fontId="5" fillId="0" borderId="0" xfId="0" applyNumberFormat="1" applyFont="1" applyProtection="1">
      <protection locked="0"/>
    </xf>
    <xf numFmtId="0" fontId="0" fillId="0" borderId="0" xfId="0" applyProtection="1">
      <protection locked="0"/>
    </xf>
    <xf numFmtId="164" fontId="0" fillId="0" borderId="0" xfId="0" applyNumberFormat="1" applyProtection="1">
      <protection locked="0"/>
    </xf>
    <xf numFmtId="0" fontId="11" fillId="0" borderId="0" xfId="0" applyFont="1"/>
    <xf numFmtId="49" fontId="3" fillId="0" borderId="0" xfId="0" applyNumberFormat="1" applyFont="1" applyProtection="1">
      <protection locked="0"/>
    </xf>
    <xf numFmtId="49" fontId="1" fillId="0" borderId="0" xfId="0" applyNumberFormat="1" applyFont="1" applyProtection="1">
      <protection locked="0"/>
    </xf>
    <xf numFmtId="49" fontId="0" fillId="0" borderId="0" xfId="0" applyNumberFormat="1" applyProtection="1">
      <protection locked="0"/>
    </xf>
    <xf numFmtId="49" fontId="5" fillId="0" borderId="0" xfId="0" applyNumberFormat="1" applyFont="1" applyProtection="1">
      <protection locked="0"/>
    </xf>
    <xf numFmtId="0" fontId="16" fillId="0" borderId="0" xfId="0" applyFont="1" applyAlignment="1">
      <alignment horizontal="center" vertical="center" wrapText="1"/>
    </xf>
    <xf numFmtId="0" fontId="18" fillId="0" borderId="0" xfId="0" applyFont="1"/>
    <xf numFmtId="49" fontId="11" fillId="0" borderId="0" xfId="0" applyNumberFormat="1" applyFont="1"/>
    <xf numFmtId="49" fontId="17" fillId="0" borderId="0" xfId="0" applyNumberFormat="1" applyFont="1" applyAlignment="1">
      <alignment vertical="center" wrapText="1"/>
    </xf>
    <xf numFmtId="0" fontId="19" fillId="0" borderId="0" xfId="0" applyFont="1" applyAlignment="1">
      <alignment horizontal="right" vertical="center" wrapText="1"/>
    </xf>
    <xf numFmtId="0" fontId="11" fillId="0" borderId="3" xfId="0" applyFont="1" applyBorder="1"/>
    <xf numFmtId="0" fontId="20" fillId="0" borderId="0" xfId="0" applyFont="1" applyAlignment="1">
      <alignment vertical="center"/>
    </xf>
    <xf numFmtId="0" fontId="21" fillId="0" borderId="0" xfId="0" applyFont="1"/>
    <xf numFmtId="0" fontId="22" fillId="0" borderId="0" xfId="0" applyFont="1" applyAlignment="1">
      <alignment vertical="center"/>
    </xf>
    <xf numFmtId="0" fontId="11" fillId="2" borderId="3" xfId="0" applyFont="1" applyFill="1" applyBorder="1"/>
    <xf numFmtId="0" fontId="18" fillId="2" borderId="0" xfId="0" applyFont="1" applyFill="1"/>
    <xf numFmtId="0" fontId="4" fillId="0" borderId="1" xfId="0" applyFont="1" applyBorder="1" applyAlignment="1">
      <alignment horizontal="center"/>
    </xf>
    <xf numFmtId="0" fontId="6" fillId="0" borderId="2" xfId="0" applyFont="1" applyBorder="1" applyAlignment="1">
      <alignment horizontal="center" vertical="center"/>
    </xf>
    <xf numFmtId="49" fontId="17" fillId="0" borderId="0" xfId="0" applyNumberFormat="1" applyFont="1" applyAlignment="1">
      <alignment horizontal="center" vertical="center" wrapText="1"/>
    </xf>
    <xf numFmtId="0" fontId="0" fillId="0" borderId="0" xfId="0" applyFill="1" applyBorder="1" applyProtection="1">
      <protection locked="0"/>
    </xf>
    <xf numFmtId="164" fontId="5" fillId="0" borderId="0" xfId="0" applyNumberFormat="1" applyFont="1" applyFill="1" applyBorder="1" applyProtection="1">
      <protection locked="0"/>
    </xf>
    <xf numFmtId="164" fontId="3" fillId="0" borderId="0" xfId="0" applyNumberFormat="1" applyFont="1" applyFill="1" applyBorder="1" applyProtection="1">
      <protection locked="0"/>
    </xf>
    <xf numFmtId="49" fontId="8" fillId="0" borderId="0" xfId="0" applyNumberFormat="1" applyFont="1" applyFill="1" applyBorder="1" applyAlignment="1">
      <alignment horizontal="center" vertical="center" wrapText="1"/>
    </xf>
    <xf numFmtId="49" fontId="12" fillId="0" borderId="0" xfId="0" applyNumberFormat="1" applyFont="1" applyFill="1" applyBorder="1" applyAlignment="1" applyProtection="1">
      <alignment horizontal="center" vertical="center"/>
      <protection locked="0"/>
    </xf>
    <xf numFmtId="164" fontId="15" fillId="0" borderId="0" xfId="0" applyNumberFormat="1" applyFont="1" applyFill="1" applyBorder="1" applyAlignment="1">
      <alignment horizontal="left" vertical="center"/>
    </xf>
    <xf numFmtId="164" fontId="14" fillId="0" borderId="0" xfId="0" applyNumberFormat="1" applyFont="1" applyFill="1" applyBorder="1" applyProtection="1">
      <protection locked="0"/>
    </xf>
    <xf numFmtId="164" fontId="10" fillId="0" borderId="0" xfId="0" applyNumberFormat="1" applyFont="1" applyFill="1" applyBorder="1" applyProtection="1">
      <protection locked="0"/>
    </xf>
    <xf numFmtId="49" fontId="0" fillId="0" borderId="0" xfId="0" applyNumberFormat="1" applyFill="1" applyBorder="1" applyProtection="1">
      <protection locked="0"/>
    </xf>
    <xf numFmtId="49" fontId="5" fillId="0" borderId="0" xfId="0" applyNumberFormat="1" applyFont="1" applyFill="1" applyBorder="1" applyProtection="1">
      <protection locked="0"/>
    </xf>
    <xf numFmtId="49" fontId="13" fillId="0" borderId="0" xfId="0" applyNumberFormat="1" applyFont="1" applyFill="1" applyBorder="1" applyProtection="1">
      <protection locked="0"/>
    </xf>
    <xf numFmtId="49" fontId="7" fillId="0" borderId="0" xfId="0" applyNumberFormat="1" applyFont="1" applyFill="1" applyBorder="1" applyAlignment="1">
      <alignment horizontal="center" vertical="center" wrapText="1"/>
    </xf>
    <xf numFmtId="49" fontId="8" fillId="0" borderId="0" xfId="0" applyNumberFormat="1" applyFont="1" applyFill="1" applyBorder="1" applyAlignment="1" applyProtection="1">
      <alignment horizontal="center" vertical="center"/>
      <protection locked="0"/>
    </xf>
    <xf numFmtId="49" fontId="10" fillId="0" borderId="0" xfId="0" applyNumberFormat="1" applyFont="1" applyFill="1" applyBorder="1" applyProtection="1">
      <protection locked="0"/>
    </xf>
    <xf numFmtId="49" fontId="3" fillId="0" borderId="0" xfId="0" applyNumberFormat="1" applyFont="1" applyFill="1" applyBorder="1" applyProtection="1">
      <protection locked="0"/>
    </xf>
    <xf numFmtId="164" fontId="15" fillId="0" borderId="0" xfId="0" applyNumberFormat="1" applyFont="1" applyFill="1" applyBorder="1" applyAlignment="1" applyProtection="1">
      <alignment horizontal="left" vertical="center"/>
      <protection locked="0"/>
    </xf>
    <xf numFmtId="164" fontId="12" fillId="0" borderId="0" xfId="0" applyNumberFormat="1" applyFont="1" applyFill="1" applyBorder="1" applyAlignment="1" applyProtection="1">
      <alignment horizontal="left" vertical="center"/>
      <protection locked="0"/>
    </xf>
    <xf numFmtId="164" fontId="9" fillId="0" borderId="0" xfId="0" applyNumberFormat="1" applyFont="1" applyFill="1" applyBorder="1" applyAlignment="1" applyProtection="1">
      <alignment horizontal="left" vertical="center"/>
      <protection locked="0"/>
    </xf>
    <xf numFmtId="164" fontId="13" fillId="0" borderId="0" xfId="0" applyNumberFormat="1" applyFont="1" applyFill="1" applyBorder="1" applyProtection="1">
      <protection locked="0"/>
    </xf>
    <xf numFmtId="164" fontId="23" fillId="0" borderId="0" xfId="0" applyNumberFormat="1" applyFont="1" applyFill="1" applyBorder="1"/>
    <xf numFmtId="0" fontId="0" fillId="0" borderId="0" xfId="0" applyFill="1" applyBorder="1"/>
    <xf numFmtId="49" fontId="12" fillId="4" borderId="5" xfId="0" applyNumberFormat="1" applyFont="1" applyFill="1" applyBorder="1" applyAlignment="1" applyProtection="1">
      <alignment horizontal="center" vertical="center"/>
      <protection locked="0"/>
    </xf>
    <xf numFmtId="49" fontId="12" fillId="4" borderId="5" xfId="0" applyNumberFormat="1" applyFont="1" applyFill="1" applyBorder="1" applyAlignment="1">
      <alignment horizontal="center" vertical="center"/>
    </xf>
    <xf numFmtId="0" fontId="0" fillId="3" borderId="0" xfId="0" applyFill="1" applyBorder="1"/>
    <xf numFmtId="49" fontId="0" fillId="3" borderId="0" xfId="0" applyNumberFormat="1" applyFill="1" applyBorder="1" applyProtection="1">
      <protection locked="0"/>
    </xf>
    <xf numFmtId="49" fontId="5" fillId="3" borderId="0" xfId="0" applyNumberFormat="1" applyFont="1" applyFill="1" applyBorder="1" applyProtection="1">
      <protection locked="0"/>
    </xf>
    <xf numFmtId="49" fontId="8" fillId="3" borderId="4" xfId="0" applyNumberFormat="1" applyFont="1" applyFill="1" applyBorder="1" applyAlignment="1">
      <alignment horizontal="center" vertical="center" wrapText="1"/>
    </xf>
  </cellXfs>
  <cellStyles count="1">
    <cellStyle name="Normal" xfId="0" builtinId="0"/>
  </cellStyles>
  <dxfs count="29">
    <dxf>
      <font>
        <color rgb="FF000000"/>
      </font>
    </dxf>
    <dxf>
      <font>
        <color rgb="FF000000"/>
      </font>
    </dxf>
    <dxf>
      <font>
        <color rgb="FF000000"/>
      </font>
    </dxf>
    <dxf>
      <font>
        <b val="0"/>
        <i val="0"/>
        <strike val="0"/>
        <condense val="0"/>
        <extend val="0"/>
        <outline val="0"/>
        <shadow val="0"/>
        <u val="none"/>
        <vertAlign val="baseline"/>
        <sz val="11"/>
        <color rgb="FF000000"/>
        <name val="Aptos Narrow"/>
        <family val="2"/>
        <scheme val="minor"/>
      </font>
    </dxf>
    <dxf>
      <font>
        <color rgb="FF000000"/>
      </font>
    </dxf>
    <dxf>
      <font>
        <b val="0"/>
        <i val="0"/>
        <strike val="0"/>
        <condense val="0"/>
        <extend val="0"/>
        <outline val="0"/>
        <shadow val="0"/>
        <u val="none"/>
        <vertAlign val="baseline"/>
        <sz val="11"/>
        <color rgb="FF000000"/>
        <name val="Aptos Narrow"/>
        <family val="2"/>
        <scheme val="minor"/>
      </font>
    </dxf>
    <dxf>
      <font>
        <color rgb="FF000000"/>
      </font>
    </dxf>
    <dxf>
      <font>
        <b val="0"/>
        <i val="0"/>
        <strike val="0"/>
        <condense val="0"/>
        <extend val="0"/>
        <outline val="0"/>
        <shadow val="0"/>
        <u val="none"/>
        <vertAlign val="baseline"/>
        <sz val="11"/>
        <color rgb="FF000000"/>
        <name val="Aptos Narrow"/>
        <family val="2"/>
        <scheme val="minor"/>
      </font>
    </dxf>
    <dxf>
      <font>
        <color rgb="FF000000"/>
      </font>
    </dxf>
    <dxf>
      <font>
        <b val="0"/>
        <i val="0"/>
        <strike val="0"/>
        <condense val="0"/>
        <extend val="0"/>
        <outline val="0"/>
        <shadow val="0"/>
        <u val="none"/>
        <vertAlign val="baseline"/>
        <sz val="11"/>
        <color rgb="FF000000"/>
        <name val="Aptos Narrow"/>
        <family val="2"/>
        <scheme val="minor"/>
      </font>
    </dxf>
    <dxf>
      <font>
        <color rgb="FF000000"/>
      </font>
    </dxf>
    <dxf>
      <font>
        <b val="0"/>
        <i val="0"/>
        <strike val="0"/>
        <condense val="0"/>
        <extend val="0"/>
        <outline val="0"/>
        <shadow val="0"/>
        <u val="none"/>
        <vertAlign val="baseline"/>
        <sz val="11"/>
        <color rgb="FF000000"/>
        <name val="Aptos Narrow"/>
        <family val="2"/>
        <scheme val="minor"/>
      </font>
    </dxf>
    <dxf>
      <font>
        <color rgb="FF000000"/>
      </font>
    </dxf>
    <dxf>
      <font>
        <b val="0"/>
        <i val="0"/>
        <strike val="0"/>
        <condense val="0"/>
        <extend val="0"/>
        <outline val="0"/>
        <shadow val="0"/>
        <u val="none"/>
        <vertAlign val="baseline"/>
        <sz val="11"/>
        <color rgb="FF000000"/>
        <name val="Aptos Narrow"/>
        <family val="2"/>
        <scheme val="minor"/>
      </font>
    </dxf>
    <dxf>
      <font>
        <color rgb="FF000000"/>
      </font>
    </dxf>
    <dxf>
      <font>
        <b val="0"/>
        <i val="0"/>
        <strike val="0"/>
        <condense val="0"/>
        <extend val="0"/>
        <outline val="0"/>
        <shadow val="0"/>
        <u val="none"/>
        <vertAlign val="baseline"/>
        <sz val="11"/>
        <color rgb="FF000000"/>
        <name val="Aptos Narrow"/>
        <family val="2"/>
        <scheme val="minor"/>
      </font>
    </dxf>
    <dxf>
      <font>
        <color rgb="FF000000"/>
      </font>
    </dxf>
    <dxf>
      <font>
        <b val="0"/>
        <i val="0"/>
        <strike val="0"/>
        <condense val="0"/>
        <extend val="0"/>
        <outline val="0"/>
        <shadow val="0"/>
        <u val="none"/>
        <vertAlign val="baseline"/>
        <sz val="11"/>
        <color rgb="FF000000"/>
        <name val="Aptos Narrow"/>
        <family val="2"/>
        <scheme val="minor"/>
      </font>
    </dxf>
    <dxf>
      <font>
        <color rgb="FF000000"/>
      </font>
    </dxf>
    <dxf>
      <font>
        <b val="0"/>
        <i val="0"/>
        <strike val="0"/>
        <condense val="0"/>
        <extend val="0"/>
        <outline val="0"/>
        <shadow val="0"/>
        <u val="none"/>
        <vertAlign val="baseline"/>
        <sz val="11"/>
        <color rgb="FF000000"/>
        <name val="Aptos Narrow"/>
        <family val="2"/>
        <scheme val="minor"/>
      </font>
    </dxf>
    <dxf>
      <font>
        <color rgb="FF000000"/>
      </font>
    </dxf>
    <dxf>
      <font>
        <b val="0"/>
        <i val="0"/>
        <strike val="0"/>
        <condense val="0"/>
        <extend val="0"/>
        <outline val="0"/>
        <shadow val="0"/>
        <u val="none"/>
        <vertAlign val="baseline"/>
        <sz val="11"/>
        <color rgb="FF000000"/>
        <name val="Aptos Narrow"/>
        <family val="2"/>
        <scheme val="minor"/>
      </font>
    </dxf>
    <dxf>
      <font>
        <color rgb="FF000000"/>
      </font>
    </dxf>
    <dxf>
      <font>
        <b val="0"/>
        <i val="0"/>
        <strike val="0"/>
        <condense val="0"/>
        <extend val="0"/>
        <outline val="0"/>
        <shadow val="0"/>
        <u val="none"/>
        <vertAlign val="baseline"/>
        <sz val="11"/>
        <color rgb="FF000000"/>
        <name val="Aptos Narrow"/>
        <family val="2"/>
        <scheme val="minor"/>
      </font>
    </dxf>
    <dxf>
      <font>
        <color rgb="FF000000"/>
      </font>
    </dxf>
    <dxf>
      <font>
        <b val="0"/>
        <i val="0"/>
        <strike val="0"/>
        <condense val="0"/>
        <extend val="0"/>
        <outline val="0"/>
        <shadow val="0"/>
        <u val="none"/>
        <vertAlign val="baseline"/>
        <sz val="11"/>
        <color rgb="FF000000"/>
        <name val="Aptos Narrow"/>
        <family val="2"/>
        <scheme val="minor"/>
      </font>
    </dxf>
    <dxf>
      <font>
        <color rgb="FF000000"/>
      </font>
    </dxf>
    <dxf>
      <font>
        <b val="0"/>
        <i val="0"/>
        <strike val="0"/>
        <condense val="0"/>
        <extend val="0"/>
        <outline val="0"/>
        <shadow val="0"/>
        <u val="none"/>
        <vertAlign val="baseline"/>
        <sz val="11"/>
        <color rgb="FF000000"/>
        <name val="Aptos Narrow"/>
        <family val="2"/>
        <scheme val="minor"/>
      </font>
    </dxf>
    <dxf>
      <font>
        <color rgb="FF000000"/>
      </font>
    </dxf>
  </dxfs>
  <tableStyles count="0" defaultTableStyle="TableStyleMedium2" defaultPivotStyle="PivotStyleLight16"/>
  <colors>
    <mruColors>
      <color rgb="FF92D050"/>
      <color rgb="FFB516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629209</xdr:colOff>
      <xdr:row>0</xdr:row>
      <xdr:rowOff>22412</xdr:rowOff>
    </xdr:from>
    <xdr:to>
      <xdr:col>10</xdr:col>
      <xdr:colOff>924899</xdr:colOff>
      <xdr:row>2</xdr:row>
      <xdr:rowOff>207309</xdr:rowOff>
    </xdr:to>
    <xdr:pic>
      <xdr:nvPicPr>
        <xdr:cNvPr id="2" name="Image 1">
          <a:extLst>
            <a:ext uri="{FF2B5EF4-FFF2-40B4-BE49-F238E27FC236}">
              <a16:creationId xmlns:a16="http://schemas.microsoft.com/office/drawing/2014/main" id="{6ECF577E-696D-42F9-9DFC-9A1EB7FB733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68934" y="22412"/>
          <a:ext cx="1335970" cy="1526241"/>
        </a:xfrm>
        <a:prstGeom prst="rect">
          <a:avLst/>
        </a:prstGeom>
      </xdr:spPr>
    </xdr:pic>
    <xdr:clientData/>
  </xdr:twoCellAnchor>
  <xdr:twoCellAnchor editAs="absolute">
    <xdr:from>
      <xdr:col>11</xdr:col>
      <xdr:colOff>291168</xdr:colOff>
      <xdr:row>1</xdr:row>
      <xdr:rowOff>10646</xdr:rowOff>
    </xdr:from>
    <xdr:to>
      <xdr:col>13</xdr:col>
      <xdr:colOff>388472</xdr:colOff>
      <xdr:row>2</xdr:row>
      <xdr:rowOff>123263</xdr:rowOff>
    </xdr:to>
    <xdr:sp macro="[0]!IntegrerFichier" textlink="">
      <xdr:nvSpPr>
        <xdr:cNvPr id="3" name="IntegrerTableau">
          <a:extLst>
            <a:ext uri="{FF2B5EF4-FFF2-40B4-BE49-F238E27FC236}">
              <a16:creationId xmlns:a16="http://schemas.microsoft.com/office/drawing/2014/main" id="{4C0F1839-A3ED-402E-8F4F-28313F49E3F2}"/>
            </a:ext>
          </a:extLst>
        </xdr:cNvPr>
        <xdr:cNvSpPr/>
      </xdr:nvSpPr>
      <xdr:spPr>
        <a:xfrm>
          <a:off x="15112815" y="862293"/>
          <a:ext cx="2189068" cy="605676"/>
        </a:xfrm>
        <a:prstGeom prst="roundRect">
          <a:avLst/>
        </a:prstGeom>
        <a:solidFill>
          <a:srgbClr val="B5163F"/>
        </a:solidFill>
        <a:ln>
          <a:noFill/>
        </a:ln>
        <a:effectLst>
          <a:softEdge rad="3175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latin typeface="ADLaM Display" panose="02010000000000000000" pitchFamily="2" charset="0"/>
              <a:ea typeface="ADLaM Display" panose="02010000000000000000" pitchFamily="2" charset="0"/>
              <a:cs typeface="ADLaM Display" panose="02010000000000000000" pitchFamily="2" charset="0"/>
            </a:rPr>
            <a:t>INTÉGRER FICHIER D'ASSOCONNECT</a:t>
          </a:r>
        </a:p>
      </xdr:txBody>
    </xdr:sp>
    <xdr:clientData/>
  </xdr:twoCellAnchor>
  <xdr:twoCellAnchor editAs="absolute">
    <xdr:from>
      <xdr:col>11</xdr:col>
      <xdr:colOff>261470</xdr:colOff>
      <xdr:row>0</xdr:row>
      <xdr:rowOff>179295</xdr:rowOff>
    </xdr:from>
    <xdr:to>
      <xdr:col>13</xdr:col>
      <xdr:colOff>358774</xdr:colOff>
      <xdr:row>0</xdr:row>
      <xdr:rowOff>784971</xdr:rowOff>
    </xdr:to>
    <xdr:sp macro="[0]!SupprTable" textlink="">
      <xdr:nvSpPr>
        <xdr:cNvPr id="4" name="IntegrerTableau">
          <a:extLst>
            <a:ext uri="{FF2B5EF4-FFF2-40B4-BE49-F238E27FC236}">
              <a16:creationId xmlns:a16="http://schemas.microsoft.com/office/drawing/2014/main" id="{6751D6BB-192B-41F8-9102-ECEE39688374}"/>
            </a:ext>
          </a:extLst>
        </xdr:cNvPr>
        <xdr:cNvSpPr/>
      </xdr:nvSpPr>
      <xdr:spPr>
        <a:xfrm>
          <a:off x="15083117" y="179295"/>
          <a:ext cx="2189068" cy="605676"/>
        </a:xfrm>
        <a:prstGeom prst="roundRect">
          <a:avLst/>
        </a:prstGeom>
        <a:solidFill>
          <a:srgbClr val="B5163F"/>
        </a:solidFill>
        <a:ln>
          <a:noFill/>
        </a:ln>
        <a:effectLst>
          <a:softEdge rad="3175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latin typeface="ADLaM Display" panose="02010000000000000000" pitchFamily="2" charset="0"/>
              <a:ea typeface="ADLaM Display" panose="02010000000000000000" pitchFamily="2" charset="0"/>
              <a:cs typeface="ADLaM Display" panose="02010000000000000000" pitchFamily="2" charset="0"/>
            </a:rPr>
            <a:t>SUPPRIMER LES TABLES</a:t>
          </a:r>
        </a:p>
      </xdr:txBody>
    </xdr:sp>
    <xdr:clientData/>
  </xdr:twoCellAnchor>
  <xdr:twoCellAnchor editAs="absolute">
    <xdr:from>
      <xdr:col>13</xdr:col>
      <xdr:colOff>523690</xdr:colOff>
      <xdr:row>0</xdr:row>
      <xdr:rowOff>465418</xdr:rowOff>
    </xdr:from>
    <xdr:to>
      <xdr:col>14</xdr:col>
      <xdr:colOff>1541744</xdr:colOff>
      <xdr:row>1</xdr:row>
      <xdr:rowOff>228785</xdr:rowOff>
    </xdr:to>
    <xdr:sp macro="[0]!GenererStatsRDV" textlink="">
      <xdr:nvSpPr>
        <xdr:cNvPr id="5" name="IntegrerTableau">
          <a:extLst>
            <a:ext uri="{FF2B5EF4-FFF2-40B4-BE49-F238E27FC236}">
              <a16:creationId xmlns:a16="http://schemas.microsoft.com/office/drawing/2014/main" id="{65570465-47C4-468B-AAC2-9E4E6C8F1D1C}"/>
            </a:ext>
          </a:extLst>
        </xdr:cNvPr>
        <xdr:cNvSpPr/>
      </xdr:nvSpPr>
      <xdr:spPr>
        <a:xfrm>
          <a:off x="17478190" y="465418"/>
          <a:ext cx="2192804" cy="604742"/>
        </a:xfrm>
        <a:prstGeom prst="roundRect">
          <a:avLst/>
        </a:prstGeom>
        <a:solidFill>
          <a:srgbClr val="B5163F"/>
        </a:solidFill>
        <a:ln>
          <a:noFill/>
        </a:ln>
        <a:effectLst>
          <a:softEdge rad="3175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0">
              <a:latin typeface="ADLaM Display" panose="02010000000000000000" pitchFamily="2" charset="0"/>
              <a:ea typeface="ADLaM Display" panose="02010000000000000000" pitchFamily="2" charset="0"/>
              <a:cs typeface="ADLaM Display" panose="02010000000000000000" pitchFamily="2" charset="0"/>
            </a:rPr>
            <a:t>GENERER</a:t>
          </a:r>
          <a:r>
            <a:rPr lang="fr-FR" sz="1100" b="0" baseline="0">
              <a:latin typeface="ADLaM Display" panose="02010000000000000000" pitchFamily="2" charset="0"/>
              <a:ea typeface="ADLaM Display" panose="02010000000000000000" pitchFamily="2" charset="0"/>
              <a:cs typeface="ADLaM Display" panose="02010000000000000000" pitchFamily="2" charset="0"/>
            </a:rPr>
            <a:t> STATS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62091C-147A-459C-BB0A-E0437227B6C3}" name="Tableau1" displayName="Tableau1" ref="A1:M55" totalsRowCount="1" headerRowDxfId="2" dataDxfId="0" totalsRowDxfId="1">
  <autoFilter ref="A1:M54" xr:uid="{3C62091C-147A-459C-BB0A-E0437227B6C3}"/>
  <sortState xmlns:xlrd2="http://schemas.microsoft.com/office/spreadsheetml/2017/richdata2" ref="A2:M54">
    <sortCondition ref="E1:E54"/>
  </sortState>
  <tableColumns count="13">
    <tableColumn id="4" xr3:uid="{E60423B9-D3F0-42EA-A609-35E1F68F8EED}" name="Nom participant" dataDxfId="28" totalsRowDxfId="27"/>
    <tableColumn id="5" xr3:uid="{F3EF33C9-8619-4382-9F20-61D8A68A7663}" name="Paiement" dataDxfId="26" totalsRowDxfId="25"/>
    <tableColumn id="17" xr3:uid="{147640A1-4085-4825-9EC3-0FF560768B54}" name="Adhérent La Ciotat Entreprendre" dataDxfId="24" totalsRowDxfId="23"/>
    <tableColumn id="18" xr3:uid="{A385E256-A0EA-4EAC-98EE-8D962B8C7484}" name="Téléphone mobile" dataDxfId="22" totalsRowDxfId="21"/>
    <tableColumn id="20" xr3:uid="{000D2B41-5CB3-443B-8883-BBA7B4A85811}" name="Nom de l'entreprise" dataDxfId="20" totalsRowDxfId="19"/>
    <tableColumn id="19" xr3:uid="{76094313-9898-4CE0-817C-D3668C5439A9}" name="Adresse email" dataDxfId="18" totalsRowDxfId="17"/>
    <tableColumn id="21" xr3:uid="{F1A4663C-9879-4F4B-8142-46EAE78E4EFF}" name="Fonction au sein de l'entreprise" dataDxfId="16" totalsRowDxfId="15"/>
    <tableColumn id="22" xr3:uid="{7F0B2087-03FA-4527-8209-AFD01E42C10B}" name="Quel est l'intitulé du poste que vous avez à pourvoir ?" dataDxfId="14" totalsRowDxfId="13"/>
    <tableColumn id="23" xr3:uid="{166D9367-E1E4-4034-BD93-4A41425F6652}" name="S'agit-il d'un contrat d'apprentissage ou de professionnalisation ?" dataDxfId="12" totalsRowDxfId="11"/>
    <tableColumn id="24" xr3:uid="{D0D15A7B-C992-4F4D-879E-F6A7719E20B1}" name="Quel niveau d'études recherchez-vous ?" dataDxfId="10" totalsRowDxfId="9"/>
    <tableColumn id="25" xr3:uid="{07B5BBBE-C82A-4B13-AE27-462149F9F563}" name="Descriptif succinct du poste" dataDxfId="8" totalsRowDxfId="7"/>
    <tableColumn id="26" xr3:uid="{C822F7C6-E416-4B19-8C1A-6737301DA384}" name="Quel est le lieu où se déroulera l'alternance ?" dataDxfId="6" totalsRowDxfId="5"/>
    <tableColumn id="27" xr3:uid="{489592D1-FFA8-4534-8A4E-E10364D1C57C}" name="Détails" totalsRowFunction="count" dataDxfId="4" totalsRowDxfId="3"/>
  </tableColumns>
  <tableStyleInfo name="TableStyleLight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1C252-234C-4A30-BA8A-27F93EBAD712}">
  <sheetPr codeName="Feuil2"/>
  <dimension ref="A1"/>
  <sheetViews>
    <sheetView workbookViewId="0">
      <selection activeCell="A2" sqref="A2"/>
    </sheetView>
  </sheetViews>
  <sheetFormatPr baseColWidth="10" defaultRowHeight="15" x14ac:dyDescent="0.25"/>
  <sheetData>
    <row r="1" spans="1:1" x14ac:dyDescent="0.25">
      <c r="A1" t="s">
        <v>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D81C1-7705-4109-A87D-1ACE75F2A7AF}">
  <sheetPr codeName="Feuil8"/>
  <dimension ref="B1:AA3"/>
  <sheetViews>
    <sheetView workbookViewId="0">
      <selection activeCell="AA1" sqref="AA1"/>
    </sheetView>
  </sheetViews>
  <sheetFormatPr baseColWidth="10" defaultRowHeight="15" x14ac:dyDescent="0.25"/>
  <cols>
    <col min="1" max="16384" width="11.42578125" style="17"/>
  </cols>
  <sheetData>
    <row r="1" spans="2:27" x14ac:dyDescent="0.25">
      <c r="B1" s="20" t="s">
        <v>314</v>
      </c>
      <c r="C1" s="24" t="s">
        <v>279</v>
      </c>
      <c r="D1" s="20" t="s">
        <v>100</v>
      </c>
      <c r="E1" s="24" t="s">
        <v>286</v>
      </c>
      <c r="F1" s="20" t="s">
        <v>28</v>
      </c>
      <c r="G1" s="24" t="s">
        <v>257</v>
      </c>
      <c r="H1" s="20" t="s">
        <v>272</v>
      </c>
      <c r="I1" s="20" t="s">
        <v>215</v>
      </c>
      <c r="J1" s="20" t="s">
        <v>70</v>
      </c>
      <c r="K1" s="20" t="s">
        <v>264</v>
      </c>
      <c r="L1" s="20" t="s">
        <v>328</v>
      </c>
      <c r="M1" s="20" t="s">
        <v>300</v>
      </c>
      <c r="N1" s="20" t="s">
        <v>59</v>
      </c>
      <c r="O1" s="24" t="s">
        <v>161</v>
      </c>
      <c r="P1" s="20" t="s">
        <v>293</v>
      </c>
      <c r="Q1" s="20" t="s">
        <v>119</v>
      </c>
      <c r="R1" s="20" t="s">
        <v>307</v>
      </c>
      <c r="S1" s="20" t="s">
        <v>32</v>
      </c>
      <c r="T1" s="20" t="s">
        <v>150</v>
      </c>
      <c r="U1" s="20" t="s">
        <v>81</v>
      </c>
      <c r="V1" s="20" t="s">
        <v>113</v>
      </c>
      <c r="W1" s="20" t="s">
        <v>321</v>
      </c>
      <c r="X1" s="24" t="s">
        <v>208</v>
      </c>
      <c r="Y1" s="20" t="s">
        <v>94</v>
      </c>
      <c r="Z1" s="20" t="s">
        <v>326</v>
      </c>
      <c r="AA1" s="20" t="s">
        <v>248</v>
      </c>
    </row>
    <row r="2" spans="2:27" x14ac:dyDescent="0.25">
      <c r="B2" s="17" t="s">
        <v>151</v>
      </c>
      <c r="F2" s="17" t="s">
        <v>152</v>
      </c>
      <c r="J2" s="17" t="s">
        <v>153</v>
      </c>
      <c r="N2" s="17" t="s">
        <v>154</v>
      </c>
      <c r="R2" s="17" t="s">
        <v>155</v>
      </c>
      <c r="V2" s="17" t="s">
        <v>156</v>
      </c>
      <c r="Z2" s="17" t="s">
        <v>157</v>
      </c>
    </row>
    <row r="3" spans="2:27" x14ac:dyDescent="0.25">
      <c r="B3" s="17" t="s">
        <v>151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766DE-F5AA-42D4-B0D8-89E6F1DDAADC}">
  <sheetPr codeName="Feuil9"/>
  <dimension ref="A1:B34"/>
  <sheetViews>
    <sheetView workbookViewId="0">
      <selection activeCell="G20" sqref="G20"/>
    </sheetView>
  </sheetViews>
  <sheetFormatPr baseColWidth="10" defaultRowHeight="15" x14ac:dyDescent="0.25"/>
  <sheetData>
    <row r="1" spans="1:2" x14ac:dyDescent="0.25">
      <c r="A1" t="s">
        <v>331</v>
      </c>
    </row>
    <row r="3" spans="1:2" x14ac:dyDescent="0.25">
      <c r="A3" t="s">
        <v>332</v>
      </c>
      <c r="B3">
        <v>8</v>
      </c>
    </row>
    <row r="5" spans="1:2" x14ac:dyDescent="0.25">
      <c r="A5" t="s">
        <v>333</v>
      </c>
      <c r="B5" t="s">
        <v>334</v>
      </c>
    </row>
    <row r="6" spans="1:2" x14ac:dyDescent="0.25">
      <c r="B6">
        <v>0</v>
      </c>
    </row>
    <row r="7" spans="1:2" x14ac:dyDescent="0.25">
      <c r="A7" t="s">
        <v>314</v>
      </c>
      <c r="B7">
        <v>2</v>
      </c>
    </row>
    <row r="8" spans="1:2" x14ac:dyDescent="0.25">
      <c r="A8" t="s">
        <v>279</v>
      </c>
      <c r="B8">
        <v>0</v>
      </c>
    </row>
    <row r="9" spans="1:2" x14ac:dyDescent="0.25">
      <c r="A9" t="s">
        <v>100</v>
      </c>
      <c r="B9">
        <v>0</v>
      </c>
    </row>
    <row r="10" spans="1:2" x14ac:dyDescent="0.25">
      <c r="A10" t="s">
        <v>286</v>
      </c>
      <c r="B10">
        <v>0</v>
      </c>
    </row>
    <row r="11" spans="1:2" x14ac:dyDescent="0.25">
      <c r="A11" t="s">
        <v>28</v>
      </c>
      <c r="B11">
        <v>1</v>
      </c>
    </row>
    <row r="12" spans="1:2" x14ac:dyDescent="0.25">
      <c r="A12" t="s">
        <v>257</v>
      </c>
      <c r="B12">
        <v>0</v>
      </c>
    </row>
    <row r="13" spans="1:2" x14ac:dyDescent="0.25">
      <c r="A13" t="s">
        <v>272</v>
      </c>
      <c r="B13">
        <v>0</v>
      </c>
    </row>
    <row r="14" spans="1:2" x14ac:dyDescent="0.25">
      <c r="A14" t="s">
        <v>215</v>
      </c>
      <c r="B14">
        <v>0</v>
      </c>
    </row>
    <row r="15" spans="1:2" x14ac:dyDescent="0.25">
      <c r="A15" t="s">
        <v>70</v>
      </c>
      <c r="B15">
        <v>1</v>
      </c>
    </row>
    <row r="16" spans="1:2" x14ac:dyDescent="0.25">
      <c r="A16" t="s">
        <v>264</v>
      </c>
      <c r="B16">
        <v>0</v>
      </c>
    </row>
    <row r="17" spans="1:2" x14ac:dyDescent="0.25">
      <c r="A17" t="s">
        <v>328</v>
      </c>
      <c r="B17">
        <v>0</v>
      </c>
    </row>
    <row r="18" spans="1:2" x14ac:dyDescent="0.25">
      <c r="A18" t="s">
        <v>300</v>
      </c>
      <c r="B18">
        <v>0</v>
      </c>
    </row>
    <row r="19" spans="1:2" x14ac:dyDescent="0.25">
      <c r="A19" t="s">
        <v>59</v>
      </c>
      <c r="B19">
        <v>1</v>
      </c>
    </row>
    <row r="20" spans="1:2" x14ac:dyDescent="0.25">
      <c r="A20" t="s">
        <v>161</v>
      </c>
      <c r="B20">
        <v>0</v>
      </c>
    </row>
    <row r="21" spans="1:2" x14ac:dyDescent="0.25">
      <c r="A21" t="s">
        <v>293</v>
      </c>
      <c r="B21">
        <v>0</v>
      </c>
    </row>
    <row r="22" spans="1:2" x14ac:dyDescent="0.25">
      <c r="A22" t="s">
        <v>119</v>
      </c>
      <c r="B22">
        <v>0</v>
      </c>
    </row>
    <row r="23" spans="1:2" x14ac:dyDescent="0.25">
      <c r="A23" t="s">
        <v>307</v>
      </c>
      <c r="B23">
        <v>1</v>
      </c>
    </row>
    <row r="24" spans="1:2" x14ac:dyDescent="0.25">
      <c r="A24" t="s">
        <v>32</v>
      </c>
      <c r="B24">
        <v>0</v>
      </c>
    </row>
    <row r="25" spans="1:2" x14ac:dyDescent="0.25">
      <c r="A25" t="s">
        <v>150</v>
      </c>
      <c r="B25">
        <v>0</v>
      </c>
    </row>
    <row r="26" spans="1:2" x14ac:dyDescent="0.25">
      <c r="A26" t="s">
        <v>81</v>
      </c>
      <c r="B26">
        <v>0</v>
      </c>
    </row>
    <row r="27" spans="1:2" x14ac:dyDescent="0.25">
      <c r="A27" t="s">
        <v>113</v>
      </c>
      <c r="B27">
        <v>1</v>
      </c>
    </row>
    <row r="28" spans="1:2" x14ac:dyDescent="0.25">
      <c r="A28" t="s">
        <v>321</v>
      </c>
      <c r="B28">
        <v>0</v>
      </c>
    </row>
    <row r="29" spans="1:2" x14ac:dyDescent="0.25">
      <c r="A29" t="s">
        <v>208</v>
      </c>
      <c r="B29">
        <v>0</v>
      </c>
    </row>
    <row r="30" spans="1:2" x14ac:dyDescent="0.25">
      <c r="A30" t="s">
        <v>94</v>
      </c>
      <c r="B30">
        <v>0</v>
      </c>
    </row>
    <row r="31" spans="1:2" x14ac:dyDescent="0.25">
      <c r="A31" t="s">
        <v>326</v>
      </c>
      <c r="B31">
        <v>1</v>
      </c>
    </row>
    <row r="32" spans="1:2" x14ac:dyDescent="0.25">
      <c r="A32" t="s">
        <v>248</v>
      </c>
      <c r="B32">
        <v>0</v>
      </c>
    </row>
    <row r="33" spans="1:2" x14ac:dyDescent="0.25">
      <c r="A33" t="s">
        <v>335</v>
      </c>
      <c r="B33">
        <v>0.3</v>
      </c>
    </row>
    <row r="34" spans="1:2" x14ac:dyDescent="0.25">
      <c r="A34" t="s">
        <v>336</v>
      </c>
      <c r="B34">
        <v>1.1399999999999999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B84D-A866-4782-A8B6-DD68B9BC644A}">
  <sheetPr codeName="Feuil4"/>
  <dimension ref="A1:AG50"/>
  <sheetViews>
    <sheetView showGridLines="0" tabSelected="1" zoomScaleNormal="100" workbookViewId="0">
      <pane ySplit="3" topLeftCell="A4" activePane="bottomLeft" state="frozen"/>
      <selection pane="bottomLeft" activeCell="C3" sqref="C3:D3"/>
    </sheetView>
  </sheetViews>
  <sheetFormatPr baseColWidth="10" defaultColWidth="14" defaultRowHeight="18.75" x14ac:dyDescent="0.3"/>
  <cols>
    <col min="1" max="1" width="5.7109375" style="5" customWidth="1"/>
    <col min="2" max="2" width="30.7109375" style="8" customWidth="1"/>
    <col min="3" max="3" width="15.7109375" style="7" customWidth="1"/>
    <col min="4" max="4" width="15.7109375" style="4" customWidth="1"/>
    <col min="5" max="5" width="30.7109375" style="8" customWidth="1"/>
    <col min="6" max="6" width="15.7109375" style="7" customWidth="1"/>
    <col min="7" max="7" width="15.7109375" style="4" customWidth="1"/>
    <col min="8" max="8" width="30.7109375" style="8" customWidth="1"/>
    <col min="9" max="9" width="15.7109375" style="7" customWidth="1"/>
    <col min="10" max="10" width="15.7109375" style="4" customWidth="1"/>
    <col min="11" max="11" width="30.7109375" style="8" customWidth="1"/>
    <col min="12" max="12" width="15.7109375" style="7" customWidth="1"/>
    <col min="13" max="13" width="15.7109375" style="4" customWidth="1"/>
    <col min="14" max="14" width="17.7109375" style="8" customWidth="1"/>
    <col min="15" max="15" width="23.7109375" style="9" customWidth="1"/>
    <col min="16" max="16" width="5.5703125" style="9" customWidth="1"/>
    <col min="17" max="17" width="14" style="8"/>
    <col min="18" max="19" width="14" style="9"/>
    <col min="20" max="20" width="14" style="8"/>
    <col min="21" max="22" width="14" style="9"/>
    <col min="23" max="23" width="14" style="8"/>
    <col min="24" max="25" width="14" style="9"/>
    <col min="26" max="26" width="14" style="8"/>
    <col min="27" max="28" width="14" style="9"/>
    <col min="29" max="29" width="14" style="8"/>
    <col min="30" max="31" width="14" style="9"/>
    <col min="32" max="32" width="14" style="8"/>
    <col min="33" max="33" width="14" style="9"/>
    <col min="34" max="16384" width="14" style="8"/>
  </cols>
  <sheetData>
    <row r="1" spans="1:33" s="5" customFormat="1" ht="66.75" thickBot="1" x14ac:dyDescent="1.1000000000000001">
      <c r="A1" s="1"/>
      <c r="B1" s="1"/>
      <c r="C1" s="26" t="s">
        <v>118</v>
      </c>
      <c r="D1" s="26"/>
      <c r="E1" s="26"/>
      <c r="F1" s="26"/>
      <c r="G1" s="26"/>
      <c r="H1" s="26"/>
      <c r="I1" s="26"/>
      <c r="J1" s="3"/>
      <c r="K1" s="1">
        <v>1</v>
      </c>
      <c r="L1" s="2"/>
      <c r="M1" s="4"/>
      <c r="O1" s="6"/>
      <c r="P1" s="6"/>
      <c r="R1" s="6"/>
      <c r="S1" s="6"/>
      <c r="U1" s="6"/>
      <c r="V1" s="6"/>
      <c r="X1" s="6"/>
      <c r="Y1" s="6"/>
      <c r="AA1" s="6"/>
      <c r="AB1" s="6"/>
      <c r="AD1" s="6"/>
      <c r="AE1" s="6"/>
      <c r="AG1" s="6"/>
    </row>
    <row r="2" spans="1:33" ht="39" x14ac:dyDescent="0.3">
      <c r="A2" s="1"/>
      <c r="B2"/>
      <c r="C2" s="27" t="s">
        <v>12</v>
      </c>
      <c r="D2" s="27"/>
      <c r="E2" s="27"/>
      <c r="F2" s="27"/>
      <c r="G2" s="27"/>
      <c r="H2" s="27"/>
      <c r="I2" s="27"/>
      <c r="J2" s="3"/>
      <c r="K2"/>
    </row>
    <row r="3" spans="1:33" ht="48.75" customHeight="1" x14ac:dyDescent="0.3">
      <c r="A3" s="1"/>
      <c r="B3" s="19" t="s">
        <v>23</v>
      </c>
      <c r="C3" s="28"/>
      <c r="D3" s="28"/>
      <c r="E3" s="18"/>
      <c r="F3" s="15"/>
      <c r="G3" s="15"/>
      <c r="H3" s="15"/>
      <c r="J3" s="3"/>
      <c r="K3"/>
    </row>
    <row r="4" spans="1:33" ht="9.9499999999999993" customHeight="1" x14ac:dyDescent="0.3">
      <c r="B4" s="29"/>
      <c r="C4" s="30"/>
      <c r="D4" s="31"/>
      <c r="E4" s="29"/>
      <c r="F4" s="30"/>
      <c r="G4" s="31"/>
      <c r="H4" s="29"/>
      <c r="I4" s="30"/>
      <c r="J4" s="31"/>
      <c r="K4" s="29"/>
      <c r="L4" s="30"/>
      <c r="M4" s="31"/>
    </row>
    <row r="5" spans="1:33" ht="39.950000000000003" customHeight="1" x14ac:dyDescent="0.35">
      <c r="A5" s="12"/>
      <c r="B5" s="55" t="s">
        <v>314</v>
      </c>
      <c r="C5" s="50" t="s">
        <v>330</v>
      </c>
      <c r="D5" s="34"/>
      <c r="E5" s="55" t="s">
        <v>279</v>
      </c>
      <c r="F5" s="50"/>
      <c r="G5" s="35"/>
      <c r="H5" s="55" t="s">
        <v>100</v>
      </c>
      <c r="I5" s="50"/>
      <c r="J5" s="35"/>
      <c r="K5" s="55" t="s">
        <v>286</v>
      </c>
      <c r="L5" s="50"/>
      <c r="M5" s="36"/>
      <c r="N5" s="13"/>
      <c r="O5" s="13"/>
    </row>
    <row r="6" spans="1:33" ht="9.9499999999999993" customHeight="1" x14ac:dyDescent="0.35">
      <c r="A6" s="12"/>
      <c r="B6" s="37"/>
      <c r="C6" s="38"/>
      <c r="D6" s="39"/>
      <c r="E6" s="32"/>
      <c r="F6" s="33"/>
      <c r="G6" s="36"/>
      <c r="H6" s="40"/>
      <c r="I6" s="41"/>
      <c r="J6" s="42"/>
      <c r="K6" s="37"/>
      <c r="L6" s="38"/>
      <c r="M6" s="43"/>
      <c r="N6" s="13"/>
      <c r="O6" s="13"/>
    </row>
    <row r="7" spans="1:33" ht="39.950000000000003" customHeight="1" x14ac:dyDescent="0.3">
      <c r="A7" s="12"/>
      <c r="B7" s="55" t="s">
        <v>28</v>
      </c>
      <c r="C7" s="50" t="s">
        <v>330</v>
      </c>
      <c r="D7" s="44"/>
      <c r="E7" s="55" t="s">
        <v>257</v>
      </c>
      <c r="F7" s="50"/>
      <c r="G7" s="45"/>
      <c r="H7" s="55" t="s">
        <v>272</v>
      </c>
      <c r="I7" s="50"/>
      <c r="J7" s="46"/>
      <c r="K7" s="55" t="s">
        <v>215</v>
      </c>
      <c r="L7" s="50"/>
      <c r="M7" s="47"/>
      <c r="N7" s="13"/>
      <c r="O7" s="13"/>
    </row>
    <row r="8" spans="1:33" ht="9.9499999999999993" customHeight="1" x14ac:dyDescent="0.3">
      <c r="A8" s="12"/>
      <c r="B8" s="32"/>
      <c r="C8" s="33"/>
      <c r="D8" s="44"/>
      <c r="E8" s="32"/>
      <c r="F8" s="33"/>
      <c r="G8" s="35"/>
      <c r="H8" s="32"/>
      <c r="I8" s="33"/>
      <c r="J8" s="44"/>
      <c r="K8" s="37"/>
      <c r="L8" s="38"/>
      <c r="M8" s="43"/>
      <c r="N8" s="13"/>
      <c r="O8" s="13"/>
    </row>
    <row r="9" spans="1:33" ht="39.950000000000003" customHeight="1" x14ac:dyDescent="0.3">
      <c r="A9" s="12"/>
      <c r="B9" s="55" t="s">
        <v>70</v>
      </c>
      <c r="C9" s="50" t="s">
        <v>330</v>
      </c>
      <c r="D9" s="46"/>
      <c r="E9" s="55" t="s">
        <v>264</v>
      </c>
      <c r="F9" s="50"/>
      <c r="G9" s="45"/>
      <c r="H9" s="55" t="s">
        <v>328</v>
      </c>
      <c r="I9" s="50"/>
      <c r="J9" s="46"/>
      <c r="K9" s="55" t="s">
        <v>300</v>
      </c>
      <c r="L9" s="50"/>
      <c r="M9" s="47"/>
      <c r="N9" s="13"/>
      <c r="O9" s="13"/>
    </row>
    <row r="10" spans="1:33" ht="9.9499999999999993" customHeight="1" x14ac:dyDescent="0.35">
      <c r="A10" s="12"/>
      <c r="B10" s="32"/>
      <c r="C10" s="33"/>
      <c r="D10" s="44"/>
      <c r="E10" s="32"/>
      <c r="F10" s="33"/>
      <c r="G10" s="42"/>
      <c r="H10" s="32"/>
      <c r="I10" s="33"/>
      <c r="J10" s="35"/>
      <c r="K10" s="37"/>
      <c r="L10" s="38"/>
      <c r="M10" s="43"/>
      <c r="N10" s="13"/>
      <c r="O10" s="13"/>
    </row>
    <row r="11" spans="1:33" ht="39.950000000000003" customHeight="1" x14ac:dyDescent="0.25">
      <c r="A11" s="12"/>
      <c r="B11" s="55" t="s">
        <v>59</v>
      </c>
      <c r="C11" s="51" t="s">
        <v>330</v>
      </c>
      <c r="D11" s="48"/>
      <c r="E11" s="55" t="s">
        <v>161</v>
      </c>
      <c r="F11" s="51"/>
      <c r="G11" s="48"/>
      <c r="H11" s="55" t="s">
        <v>293</v>
      </c>
      <c r="I11" s="51"/>
      <c r="J11" s="48"/>
      <c r="K11" s="55" t="s">
        <v>119</v>
      </c>
      <c r="L11" s="51"/>
      <c r="M11" s="48"/>
      <c r="N11" s="13"/>
      <c r="O11" s="13"/>
    </row>
    <row r="12" spans="1:33" ht="9.9499999999999993" customHeight="1" x14ac:dyDescent="0.25">
      <c r="A12" s="12"/>
      <c r="B12" s="49"/>
      <c r="C12" s="49"/>
      <c r="D12" s="49"/>
      <c r="E12" s="49"/>
      <c r="F12" s="49"/>
      <c r="G12" s="49"/>
      <c r="H12" s="49"/>
      <c r="I12" s="49"/>
      <c r="J12" s="49"/>
      <c r="K12" s="49"/>
      <c r="L12" s="49"/>
      <c r="M12" s="49"/>
      <c r="N12" s="13"/>
      <c r="O12" s="13"/>
    </row>
    <row r="13" spans="1:33" ht="39.950000000000003" customHeight="1" x14ac:dyDescent="0.25">
      <c r="A13" s="12"/>
      <c r="B13" s="55" t="s">
        <v>307</v>
      </c>
      <c r="C13" s="51" t="s">
        <v>330</v>
      </c>
      <c r="D13" s="48"/>
      <c r="E13" s="55" t="s">
        <v>32</v>
      </c>
      <c r="F13" s="51"/>
      <c r="G13" s="48"/>
      <c r="H13" s="55" t="s">
        <v>150</v>
      </c>
      <c r="I13" s="51"/>
      <c r="J13" s="48"/>
      <c r="K13" s="55" t="s">
        <v>81</v>
      </c>
      <c r="L13" s="51"/>
      <c r="M13" s="48"/>
      <c r="N13" s="13"/>
      <c r="O13" s="13"/>
    </row>
    <row r="14" spans="1:33" ht="9.9499999999999993" customHeight="1" x14ac:dyDescent="0.25">
      <c r="A14" s="12"/>
      <c r="B14" s="49"/>
      <c r="C14" s="49"/>
      <c r="D14" s="49"/>
      <c r="E14" s="49"/>
      <c r="F14" s="49"/>
      <c r="G14" s="49"/>
      <c r="H14" s="49"/>
      <c r="I14" s="49"/>
      <c r="J14" s="49"/>
      <c r="K14" s="49"/>
      <c r="L14" s="49"/>
      <c r="M14" s="49"/>
      <c r="N14" s="13"/>
      <c r="O14" s="13"/>
    </row>
    <row r="15" spans="1:33" ht="39.950000000000003" customHeight="1" x14ac:dyDescent="0.25">
      <c r="A15" s="12"/>
      <c r="B15" s="55" t="s">
        <v>113</v>
      </c>
      <c r="C15" s="51" t="s">
        <v>330</v>
      </c>
      <c r="D15" s="48"/>
      <c r="E15" s="55" t="s">
        <v>321</v>
      </c>
      <c r="F15" s="51"/>
      <c r="G15" s="48"/>
      <c r="H15" s="55" t="s">
        <v>208</v>
      </c>
      <c r="I15" s="51"/>
      <c r="J15" s="48"/>
      <c r="K15" s="55" t="s">
        <v>94</v>
      </c>
      <c r="L15" s="51"/>
      <c r="M15" s="48"/>
      <c r="N15" s="13"/>
      <c r="O15" s="13"/>
    </row>
    <row r="16" spans="1:33" ht="9.9499999999999993" customHeight="1" x14ac:dyDescent="0.25">
      <c r="A16" s="12"/>
      <c r="B16" s="49"/>
      <c r="C16" s="49"/>
      <c r="D16" s="49"/>
      <c r="E16" s="49"/>
      <c r="F16" s="49"/>
      <c r="G16" s="49"/>
      <c r="H16" s="49"/>
      <c r="I16" s="49"/>
      <c r="J16" s="49"/>
      <c r="K16" s="49"/>
      <c r="L16" s="49"/>
      <c r="M16" s="49"/>
      <c r="N16" s="13"/>
      <c r="O16" s="13"/>
    </row>
    <row r="17" spans="1:15" ht="39.950000000000003" customHeight="1" x14ac:dyDescent="0.25">
      <c r="A17" s="12"/>
      <c r="B17" s="55" t="s">
        <v>326</v>
      </c>
      <c r="C17" s="51" t="s">
        <v>330</v>
      </c>
      <c r="D17" s="48"/>
      <c r="E17" s="55" t="s">
        <v>248</v>
      </c>
      <c r="F17" s="51"/>
      <c r="G17" s="48"/>
      <c r="H17" s="52"/>
      <c r="I17" s="52"/>
      <c r="J17" s="49"/>
      <c r="K17" s="52"/>
      <c r="L17" s="52"/>
      <c r="M17" s="49"/>
      <c r="N17" s="13"/>
      <c r="O17" s="13"/>
    </row>
    <row r="18" spans="1:15" ht="9.9499999999999993" customHeight="1" x14ac:dyDescent="0.25">
      <c r="A18" s="12"/>
      <c r="B18" s="49"/>
      <c r="C18" s="49"/>
      <c r="D18" s="49"/>
      <c r="E18" s="49"/>
      <c r="F18" s="49"/>
      <c r="G18" s="49"/>
      <c r="H18" s="49"/>
      <c r="I18" s="49"/>
      <c r="J18" s="49"/>
      <c r="K18" s="49"/>
      <c r="L18" s="49"/>
      <c r="M18" s="49"/>
      <c r="N18" s="13"/>
      <c r="O18" s="13"/>
    </row>
    <row r="19" spans="1:15" ht="9.9499999999999993" customHeight="1" x14ac:dyDescent="0.25">
      <c r="A19" s="12"/>
      <c r="B19" s="52"/>
      <c r="C19" s="52"/>
      <c r="D19" s="49"/>
      <c r="E19" s="52"/>
      <c r="F19" s="52"/>
      <c r="G19" s="49"/>
      <c r="H19" s="52"/>
      <c r="I19" s="52"/>
      <c r="J19" s="49"/>
      <c r="K19" s="52"/>
      <c r="L19" s="52"/>
      <c r="M19" s="49"/>
      <c r="N19" s="13"/>
      <c r="O19" s="13"/>
    </row>
    <row r="20" spans="1:15" ht="9.9499999999999993" customHeight="1" x14ac:dyDescent="0.25">
      <c r="A20" s="12"/>
      <c r="B20" s="49"/>
      <c r="C20" s="49"/>
      <c r="D20" s="49"/>
      <c r="E20" s="49"/>
      <c r="F20" s="49"/>
      <c r="G20" s="49"/>
      <c r="H20" s="49"/>
      <c r="I20" s="49"/>
      <c r="J20" s="49"/>
      <c r="K20" s="49"/>
      <c r="L20" s="49"/>
      <c r="M20" s="49"/>
      <c r="N20" s="13"/>
      <c r="O20" s="13"/>
    </row>
    <row r="21" spans="1:15" ht="9.9499999999999993" customHeight="1" x14ac:dyDescent="0.25">
      <c r="A21" s="12"/>
      <c r="B21" s="52"/>
      <c r="C21" s="52"/>
      <c r="D21" s="49"/>
      <c r="E21" s="52"/>
      <c r="F21" s="52"/>
      <c r="G21" s="49"/>
      <c r="H21" s="52"/>
      <c r="I21" s="52"/>
      <c r="J21" s="49"/>
      <c r="K21" s="52"/>
      <c r="L21" s="52"/>
      <c r="M21" s="49"/>
      <c r="N21" s="13"/>
      <c r="O21" s="13"/>
    </row>
    <row r="22" spans="1:15" ht="9.9499999999999993" customHeight="1" x14ac:dyDescent="0.25">
      <c r="A22" s="12"/>
      <c r="B22" s="49"/>
      <c r="C22" s="49"/>
      <c r="D22" s="49"/>
      <c r="E22" s="49"/>
      <c r="F22" s="49"/>
      <c r="G22" s="49"/>
      <c r="H22" s="49"/>
      <c r="I22" s="49"/>
      <c r="J22" s="49"/>
      <c r="K22" s="49"/>
      <c r="L22" s="49"/>
      <c r="M22" s="49"/>
      <c r="N22" s="13"/>
      <c r="O22" s="13"/>
    </row>
    <row r="23" spans="1:15" ht="9.9499999999999993" customHeight="1" x14ac:dyDescent="0.25">
      <c r="A23" s="12"/>
      <c r="B23" s="52"/>
      <c r="C23" s="52"/>
      <c r="D23" s="49"/>
      <c r="E23" s="52"/>
      <c r="F23" s="52"/>
      <c r="G23" s="49"/>
      <c r="H23" s="52"/>
      <c r="I23" s="52"/>
      <c r="J23" s="49"/>
      <c r="K23" s="52"/>
      <c r="L23" s="52"/>
      <c r="M23" s="49"/>
      <c r="N23" s="13"/>
      <c r="O23" s="13"/>
    </row>
    <row r="24" spans="1:15" ht="9.9499999999999993" customHeight="1" x14ac:dyDescent="0.25">
      <c r="A24" s="12"/>
      <c r="B24" s="49"/>
      <c r="C24" s="49"/>
      <c r="D24" s="49"/>
      <c r="E24" s="49"/>
      <c r="F24" s="49"/>
      <c r="G24" s="49"/>
      <c r="H24" s="49"/>
      <c r="I24" s="49"/>
      <c r="J24" s="49"/>
      <c r="K24" s="49"/>
      <c r="L24" s="49"/>
      <c r="M24" s="49"/>
      <c r="N24" s="13"/>
      <c r="O24" s="13"/>
    </row>
    <row r="25" spans="1:15" ht="9.9499999999999993" customHeight="1" x14ac:dyDescent="0.25">
      <c r="A25" s="12"/>
      <c r="B25" s="52"/>
      <c r="C25" s="52"/>
      <c r="D25" s="49"/>
      <c r="E25" s="52"/>
      <c r="F25" s="52"/>
      <c r="G25" s="49"/>
      <c r="H25" s="52"/>
      <c r="I25" s="52"/>
      <c r="J25" s="49"/>
      <c r="K25" s="52"/>
      <c r="L25" s="52"/>
      <c r="M25" s="49"/>
      <c r="N25" s="13"/>
      <c r="O25" s="13"/>
    </row>
    <row r="26" spans="1:15" ht="9.9499999999999993" customHeight="1" x14ac:dyDescent="0.25">
      <c r="A26" s="12"/>
      <c r="B26" s="49"/>
      <c r="C26" s="49"/>
      <c r="D26" s="49"/>
      <c r="E26" s="49"/>
      <c r="F26" s="49"/>
      <c r="G26" s="49"/>
      <c r="H26" s="49"/>
      <c r="I26" s="49"/>
      <c r="J26" s="49"/>
      <c r="K26" s="49"/>
      <c r="L26" s="49"/>
      <c r="M26" s="49"/>
      <c r="N26" s="13"/>
      <c r="O26" s="13"/>
    </row>
    <row r="27" spans="1:15" ht="9.9499999999999993" customHeight="1" x14ac:dyDescent="0.25">
      <c r="A27" s="12"/>
      <c r="B27" s="52"/>
      <c r="C27" s="52"/>
      <c r="D27" s="49"/>
      <c r="E27" s="52"/>
      <c r="F27" s="52"/>
      <c r="G27" s="49"/>
      <c r="H27" s="52"/>
      <c r="I27" s="52"/>
      <c r="J27" s="49"/>
      <c r="K27" s="52"/>
      <c r="L27" s="52"/>
      <c r="M27" s="49"/>
      <c r="N27" s="13"/>
      <c r="O27" s="13"/>
    </row>
    <row r="28" spans="1:15" ht="9.9499999999999993" customHeight="1" x14ac:dyDescent="0.3">
      <c r="A28" s="12"/>
      <c r="B28" s="37"/>
      <c r="C28" s="38"/>
      <c r="D28" s="43"/>
      <c r="E28" s="37"/>
      <c r="F28" s="38"/>
      <c r="G28" s="43"/>
      <c r="H28" s="37"/>
      <c r="I28" s="38"/>
      <c r="J28" s="43"/>
      <c r="K28" s="37"/>
      <c r="L28" s="38"/>
      <c r="M28" s="43"/>
      <c r="N28" s="13"/>
      <c r="O28" s="13"/>
    </row>
    <row r="29" spans="1:15" ht="9.9499999999999993" customHeight="1" x14ac:dyDescent="0.3">
      <c r="A29" s="12"/>
      <c r="B29" s="53"/>
      <c r="C29" s="54"/>
      <c r="D29" s="43"/>
      <c r="E29" s="53"/>
      <c r="F29" s="54"/>
      <c r="G29" s="43"/>
      <c r="H29" s="53"/>
      <c r="I29" s="54"/>
      <c r="J29" s="43"/>
      <c r="K29" s="53"/>
      <c r="L29" s="54"/>
      <c r="M29" s="43"/>
      <c r="N29" s="13"/>
      <c r="O29" s="13"/>
    </row>
    <row r="30" spans="1:15" ht="9.9499999999999993" customHeight="1" x14ac:dyDescent="0.3">
      <c r="A30" s="12"/>
      <c r="B30" s="37"/>
      <c r="C30" s="38"/>
      <c r="D30" s="43"/>
      <c r="E30" s="37"/>
      <c r="F30" s="38"/>
      <c r="G30" s="43"/>
      <c r="H30" s="37"/>
      <c r="I30" s="38"/>
      <c r="J30" s="43"/>
      <c r="K30" s="37"/>
      <c r="L30" s="38"/>
      <c r="M30" s="43"/>
      <c r="N30" s="13"/>
      <c r="O30" s="13"/>
    </row>
    <row r="31" spans="1:15" ht="9.9499999999999993" customHeight="1" x14ac:dyDescent="0.3">
      <c r="A31" s="12"/>
      <c r="B31" s="13"/>
      <c r="C31" s="14"/>
      <c r="D31" s="11"/>
      <c r="E31" s="13"/>
      <c r="F31" s="14"/>
      <c r="G31" s="11"/>
      <c r="H31" s="13"/>
      <c r="I31" s="14"/>
      <c r="J31" s="11"/>
      <c r="K31" s="13"/>
      <c r="L31" s="14"/>
      <c r="M31" s="11"/>
      <c r="N31" s="13"/>
      <c r="O31" s="13"/>
    </row>
    <row r="32" spans="1:15" ht="9.9499999999999993" customHeight="1" x14ac:dyDescent="0.3">
      <c r="A32" s="12"/>
      <c r="B32" s="13"/>
      <c r="C32" s="14"/>
      <c r="D32" s="11"/>
      <c r="E32" s="13"/>
      <c r="F32" s="14"/>
      <c r="G32" s="11"/>
      <c r="H32" s="13"/>
      <c r="I32" s="14"/>
      <c r="J32" s="11"/>
      <c r="K32" s="13"/>
      <c r="L32" s="14"/>
      <c r="M32" s="11"/>
      <c r="N32" s="13"/>
      <c r="O32" s="13"/>
    </row>
    <row r="33" spans="1:15" ht="9.9499999999999993" customHeight="1" x14ac:dyDescent="0.3">
      <c r="A33" s="12"/>
      <c r="B33" s="13"/>
      <c r="C33" s="14"/>
      <c r="D33" s="11"/>
      <c r="E33" s="13"/>
      <c r="F33" s="14"/>
      <c r="G33" s="11"/>
      <c r="H33" s="13"/>
      <c r="I33" s="14"/>
      <c r="J33" s="11"/>
      <c r="K33" s="13"/>
      <c r="L33" s="14"/>
      <c r="M33" s="11"/>
      <c r="N33" s="13"/>
      <c r="O33" s="13"/>
    </row>
    <row r="34" spans="1:15" ht="9.9499999999999993" customHeight="1" x14ac:dyDescent="0.3">
      <c r="A34" s="12"/>
      <c r="B34" s="13"/>
      <c r="C34" s="14"/>
      <c r="D34" s="11"/>
      <c r="E34" s="13"/>
      <c r="F34" s="14"/>
      <c r="G34" s="11"/>
      <c r="H34" s="13"/>
      <c r="I34" s="14"/>
      <c r="J34" s="11"/>
      <c r="K34" s="13"/>
      <c r="L34" s="14"/>
      <c r="M34" s="11"/>
      <c r="N34" s="13"/>
      <c r="O34" s="13"/>
    </row>
    <row r="35" spans="1:15" ht="9.9499999999999993" customHeight="1" x14ac:dyDescent="0.3">
      <c r="A35" s="12"/>
      <c r="B35" s="13"/>
      <c r="C35" s="14"/>
      <c r="D35" s="11"/>
      <c r="E35" s="13"/>
      <c r="F35" s="14"/>
      <c r="G35" s="11"/>
      <c r="H35" s="13"/>
      <c r="I35" s="14"/>
      <c r="J35" s="11"/>
      <c r="K35" s="13"/>
      <c r="L35" s="14"/>
      <c r="M35" s="11"/>
      <c r="N35" s="13"/>
      <c r="O35" s="13"/>
    </row>
    <row r="36" spans="1:15" ht="9.9499999999999993" customHeight="1" x14ac:dyDescent="0.3">
      <c r="A36" s="12"/>
      <c r="B36" s="13"/>
      <c r="C36" s="14"/>
      <c r="D36" s="11"/>
      <c r="E36" s="13"/>
      <c r="F36" s="14"/>
      <c r="G36" s="11"/>
      <c r="H36" s="13"/>
      <c r="I36" s="14"/>
      <c r="J36" s="11"/>
      <c r="K36" s="13"/>
      <c r="L36" s="14"/>
      <c r="M36" s="11"/>
      <c r="N36" s="13"/>
      <c r="O36" s="13"/>
    </row>
    <row r="37" spans="1:15" ht="9.9499999999999993" customHeight="1" x14ac:dyDescent="0.3">
      <c r="A37" s="12"/>
      <c r="B37" s="13"/>
      <c r="C37" s="14"/>
      <c r="D37" s="11"/>
      <c r="E37" s="13"/>
      <c r="F37" s="14"/>
      <c r="G37" s="11"/>
      <c r="H37" s="13"/>
      <c r="I37" s="14"/>
      <c r="J37" s="11"/>
      <c r="K37" s="13"/>
      <c r="L37" s="14"/>
      <c r="M37" s="11"/>
      <c r="N37" s="13"/>
      <c r="O37" s="13"/>
    </row>
    <row r="38" spans="1:15" ht="9.9499999999999993" customHeight="1" x14ac:dyDescent="0.3">
      <c r="A38" s="12"/>
      <c r="B38" s="13"/>
      <c r="C38" s="14"/>
      <c r="D38" s="11"/>
      <c r="E38" s="13"/>
      <c r="F38" s="14"/>
      <c r="G38" s="11"/>
      <c r="H38" s="13"/>
      <c r="I38" s="14"/>
      <c r="J38" s="11"/>
      <c r="K38" s="13"/>
      <c r="L38" s="14"/>
      <c r="M38" s="11"/>
      <c r="N38" s="13"/>
      <c r="O38" s="13"/>
    </row>
    <row r="39" spans="1:15" ht="9.9499999999999993" customHeight="1" x14ac:dyDescent="0.3">
      <c r="A39" s="12"/>
      <c r="B39" s="13"/>
      <c r="C39" s="14"/>
      <c r="D39" s="11"/>
      <c r="E39" s="13"/>
      <c r="F39" s="14"/>
      <c r="G39" s="11"/>
      <c r="H39" s="13"/>
      <c r="I39" s="14"/>
      <c r="J39" s="11"/>
      <c r="K39" s="13"/>
      <c r="L39" s="14"/>
      <c r="M39" s="11"/>
      <c r="N39" s="13"/>
      <c r="O39" s="13"/>
    </row>
    <row r="40" spans="1:15" ht="9.9499999999999993" customHeight="1" x14ac:dyDescent="0.3">
      <c r="A40" s="12"/>
      <c r="B40" s="13"/>
      <c r="C40" s="14"/>
      <c r="D40" s="11"/>
      <c r="E40" s="13"/>
      <c r="F40" s="14"/>
      <c r="G40" s="11"/>
      <c r="H40" s="13"/>
      <c r="I40" s="14"/>
      <c r="J40" s="11"/>
      <c r="K40" s="13"/>
      <c r="L40" s="14"/>
      <c r="M40" s="11"/>
      <c r="N40" s="13"/>
      <c r="O40" s="13"/>
    </row>
    <row r="41" spans="1:15" ht="9.9499999999999993" customHeight="1" x14ac:dyDescent="0.3">
      <c r="A41" s="12"/>
      <c r="B41" s="13"/>
      <c r="C41" s="14"/>
      <c r="D41" s="11"/>
      <c r="E41" s="13"/>
      <c r="F41" s="14"/>
      <c r="G41" s="11"/>
      <c r="H41" s="13"/>
      <c r="I41" s="14"/>
      <c r="J41" s="11"/>
      <c r="K41" s="13"/>
      <c r="L41" s="14"/>
      <c r="M41" s="11"/>
      <c r="N41" s="13"/>
      <c r="O41" s="13"/>
    </row>
    <row r="42" spans="1:15" ht="9.9499999999999993" customHeight="1" x14ac:dyDescent="0.3">
      <c r="A42" s="12"/>
      <c r="B42" s="13"/>
      <c r="C42" s="14"/>
      <c r="D42" s="11"/>
      <c r="E42" s="13"/>
      <c r="F42" s="14"/>
      <c r="G42" s="11"/>
      <c r="H42" s="13"/>
      <c r="I42" s="14"/>
      <c r="J42" s="11"/>
      <c r="K42" s="13"/>
      <c r="L42" s="14"/>
      <c r="M42" s="11"/>
      <c r="N42" s="13"/>
      <c r="O42" s="13"/>
    </row>
    <row r="43" spans="1:15" ht="9.9499999999999993" customHeight="1" x14ac:dyDescent="0.3">
      <c r="A43" s="12"/>
      <c r="B43" s="13"/>
      <c r="C43" s="14"/>
      <c r="D43" s="11"/>
      <c r="E43" s="13"/>
      <c r="F43" s="14"/>
      <c r="G43" s="11"/>
      <c r="H43" s="13"/>
      <c r="I43" s="14"/>
      <c r="J43" s="11"/>
      <c r="K43" s="13"/>
      <c r="L43" s="14"/>
      <c r="M43" s="11"/>
      <c r="N43" s="13"/>
      <c r="O43" s="13"/>
    </row>
    <row r="44" spans="1:15" ht="9.9499999999999993" customHeight="1" x14ac:dyDescent="0.3">
      <c r="A44" s="12"/>
      <c r="B44" s="13"/>
      <c r="C44" s="14"/>
      <c r="D44" s="11"/>
      <c r="E44" s="13"/>
      <c r="F44" s="14"/>
      <c r="G44" s="11"/>
      <c r="H44" s="13"/>
      <c r="I44" s="14"/>
      <c r="J44" s="11"/>
      <c r="K44" s="13"/>
      <c r="L44" s="14"/>
      <c r="M44" s="11"/>
      <c r="N44" s="13"/>
      <c r="O44" s="13"/>
    </row>
    <row r="45" spans="1:15" ht="9.9499999999999993" customHeight="1" x14ac:dyDescent="0.3"/>
    <row r="46" spans="1:15" ht="9.9499999999999993" customHeight="1" x14ac:dyDescent="0.3"/>
    <row r="47" spans="1:15" ht="9.9499999999999993" customHeight="1" x14ac:dyDescent="0.3"/>
    <row r="48" spans="1:15" ht="9.9499999999999993" customHeight="1" x14ac:dyDescent="0.3"/>
    <row r="49" ht="9.9499999999999993" customHeight="1" x14ac:dyDescent="0.3"/>
    <row r="50" ht="9.9499999999999993" customHeight="1" x14ac:dyDescent="0.3"/>
  </sheetData>
  <sheetProtection formatCells="0" formatColumns="0" formatRows="0" insertColumns="0" insertRows="0" insertHyperlinks="0" deleteColumns="0" deleteRows="0" selectLockedCells="1" sort="0" autoFilter="0" pivotTables="0"/>
  <mergeCells count="3">
    <mergeCell ref="C1:I1"/>
    <mergeCell ref="C2:I2"/>
    <mergeCell ref="C3:D3"/>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BFA05-D370-428E-849E-F1B3ABEB4418}">
  <sheetPr codeName="Feuil7"/>
  <dimension ref="A1:M57"/>
  <sheetViews>
    <sheetView workbookViewId="0">
      <selection sqref="A1:XFD1048576"/>
    </sheetView>
  </sheetViews>
  <sheetFormatPr baseColWidth="10" defaultRowHeight="15" x14ac:dyDescent="0.25"/>
  <cols>
    <col min="1" max="1" width="16.140625" style="10" customWidth="1"/>
    <col min="2" max="2" width="11.42578125" style="10"/>
    <col min="3" max="3" width="29.28515625" style="10" customWidth="1"/>
    <col min="4" max="4" width="17.42578125" style="10" customWidth="1"/>
    <col min="5" max="5" width="11.42578125" style="10"/>
    <col min="6" max="6" width="33.7109375" style="10" customWidth="1"/>
    <col min="7" max="7" width="41.28515625" style="10" bestFit="1" customWidth="1"/>
    <col min="8" max="8" width="28.140625" style="10" customWidth="1"/>
    <col min="9" max="9" width="45.85546875" style="10" customWidth="1"/>
    <col min="10" max="10" width="55.42578125" style="10" customWidth="1"/>
    <col min="11" max="11" width="34.85546875" style="10" customWidth="1"/>
    <col min="12" max="12" width="25.140625" style="10" customWidth="1"/>
    <col min="13" max="13" width="39.28515625" style="10" customWidth="1"/>
    <col min="14" max="16384" width="11.42578125" style="10"/>
  </cols>
  <sheetData>
    <row r="1" spans="1:13" x14ac:dyDescent="0.25">
      <c r="A1" s="10" t="s">
        <v>0</v>
      </c>
      <c r="B1" s="10" t="s">
        <v>51</v>
      </c>
      <c r="C1" s="10" t="s">
        <v>120</v>
      </c>
      <c r="D1" s="10" t="s">
        <v>121</v>
      </c>
      <c r="E1" s="10" t="s">
        <v>14</v>
      </c>
      <c r="F1" s="10" t="s">
        <v>1</v>
      </c>
      <c r="G1" s="10" t="s">
        <v>2</v>
      </c>
      <c r="H1" s="10" t="s">
        <v>3</v>
      </c>
      <c r="I1" s="10" t="s">
        <v>15</v>
      </c>
      <c r="J1" s="10" t="s">
        <v>4</v>
      </c>
      <c r="K1" s="10" t="s">
        <v>5</v>
      </c>
      <c r="L1" s="10" t="s">
        <v>6</v>
      </c>
      <c r="M1" s="10" t="s">
        <v>7</v>
      </c>
    </row>
    <row r="2" spans="1:13" s="16" customFormat="1" x14ac:dyDescent="0.25">
      <c r="A2" s="16" t="s">
        <v>311</v>
      </c>
      <c r="B2" s="16" t="s">
        <v>53</v>
      </c>
      <c r="C2" s="16" t="s">
        <v>122</v>
      </c>
      <c r="D2" s="16" t="s">
        <v>313</v>
      </c>
      <c r="E2" s="16" t="s">
        <v>314</v>
      </c>
      <c r="F2" s="16" t="s">
        <v>312</v>
      </c>
      <c r="G2" s="16" t="s">
        <v>21</v>
      </c>
      <c r="H2" s="16" t="s">
        <v>315</v>
      </c>
      <c r="I2" s="16" t="s">
        <v>8</v>
      </c>
      <c r="J2" s="16" t="s">
        <v>13</v>
      </c>
      <c r="K2" s="16" t="s">
        <v>316</v>
      </c>
      <c r="L2" s="16" t="s">
        <v>9</v>
      </c>
      <c r="M2" s="16" t="s">
        <v>317</v>
      </c>
    </row>
    <row r="3" spans="1:13" s="16" customFormat="1" x14ac:dyDescent="0.25">
      <c r="A3" s="16" t="s">
        <v>276</v>
      </c>
      <c r="B3" s="16" t="s">
        <v>53</v>
      </c>
      <c r="C3" s="16" t="s">
        <v>122</v>
      </c>
      <c r="D3" s="16" t="s">
        <v>278</v>
      </c>
      <c r="E3" s="25" t="s">
        <v>279</v>
      </c>
      <c r="F3" s="16" t="s">
        <v>277</v>
      </c>
      <c r="G3" s="16" t="s">
        <v>21</v>
      </c>
      <c r="H3" s="16" t="s">
        <v>280</v>
      </c>
      <c r="I3" s="16" t="s">
        <v>217</v>
      </c>
      <c r="J3" s="16" t="s">
        <v>13</v>
      </c>
      <c r="K3" s="16" t="s">
        <v>281</v>
      </c>
      <c r="L3" s="16" t="s">
        <v>20</v>
      </c>
      <c r="M3" s="16" t="s">
        <v>282</v>
      </c>
    </row>
    <row r="4" spans="1:13" s="16" customFormat="1" x14ac:dyDescent="0.25">
      <c r="A4" s="16" t="s">
        <v>98</v>
      </c>
      <c r="B4" s="16" t="s">
        <v>53</v>
      </c>
      <c r="C4" s="16" t="s">
        <v>122</v>
      </c>
      <c r="D4" s="16" t="s">
        <v>142</v>
      </c>
      <c r="E4" s="16" t="s">
        <v>100</v>
      </c>
      <c r="F4" s="16" t="s">
        <v>99</v>
      </c>
      <c r="G4" s="16" t="s">
        <v>21</v>
      </c>
      <c r="H4" s="16" t="s">
        <v>143</v>
      </c>
      <c r="I4" s="16" t="s">
        <v>8</v>
      </c>
      <c r="J4" s="16" t="s">
        <v>19</v>
      </c>
      <c r="K4" s="16" t="s">
        <v>101</v>
      </c>
      <c r="L4" s="16" t="s">
        <v>9</v>
      </c>
      <c r="M4" s="16" t="s">
        <v>102</v>
      </c>
    </row>
    <row r="5" spans="1:13" s="16" customFormat="1" x14ac:dyDescent="0.25">
      <c r="A5" s="16" t="s">
        <v>283</v>
      </c>
      <c r="B5" s="16" t="s">
        <v>53</v>
      </c>
      <c r="C5" s="16" t="s">
        <v>122</v>
      </c>
      <c r="D5" s="16" t="s">
        <v>285</v>
      </c>
      <c r="E5" s="25" t="s">
        <v>286</v>
      </c>
      <c r="F5" s="16" t="s">
        <v>284</v>
      </c>
      <c r="G5" s="16" t="s">
        <v>29</v>
      </c>
      <c r="H5" s="16" t="s">
        <v>287</v>
      </c>
      <c r="I5" s="16" t="s">
        <v>8</v>
      </c>
      <c r="J5" s="16" t="s">
        <v>250</v>
      </c>
      <c r="K5" s="16" t="s">
        <v>288</v>
      </c>
      <c r="L5" s="16" t="s">
        <v>9</v>
      </c>
      <c r="M5" s="16" t="s">
        <v>289</v>
      </c>
    </row>
    <row r="6" spans="1:13" s="16" customFormat="1" x14ac:dyDescent="0.25">
      <c r="A6" s="16" t="s">
        <v>74</v>
      </c>
      <c r="B6" s="16" t="s">
        <v>53</v>
      </c>
      <c r="C6" s="16" t="s">
        <v>122</v>
      </c>
      <c r="D6" s="16" t="s">
        <v>132</v>
      </c>
      <c r="E6" s="16" t="s">
        <v>28</v>
      </c>
      <c r="F6" s="16" t="s">
        <v>75</v>
      </c>
      <c r="G6" s="16" t="s">
        <v>18</v>
      </c>
      <c r="H6" s="16" t="s">
        <v>133</v>
      </c>
      <c r="I6" s="16" t="s">
        <v>8</v>
      </c>
      <c r="J6" s="16" t="s">
        <v>19</v>
      </c>
      <c r="K6" s="16" t="s">
        <v>76</v>
      </c>
      <c r="L6" s="16" t="s">
        <v>9</v>
      </c>
      <c r="M6" s="16" t="s">
        <v>77</v>
      </c>
    </row>
    <row r="7" spans="1:13" s="16" customFormat="1" x14ac:dyDescent="0.25">
      <c r="A7" s="16" t="s">
        <v>26</v>
      </c>
      <c r="B7" s="16" t="s">
        <v>53</v>
      </c>
      <c r="C7" s="16" t="s">
        <v>122</v>
      </c>
      <c r="D7" s="16" t="s">
        <v>132</v>
      </c>
      <c r="E7" s="16" t="s">
        <v>28</v>
      </c>
      <c r="F7" s="16" t="s">
        <v>27</v>
      </c>
      <c r="G7" s="16" t="s">
        <v>29</v>
      </c>
      <c r="H7" s="16" t="s">
        <v>134</v>
      </c>
      <c r="I7" s="16" t="s">
        <v>8</v>
      </c>
      <c r="J7" s="16" t="s">
        <v>19</v>
      </c>
      <c r="K7" s="16" t="s">
        <v>78</v>
      </c>
      <c r="L7" s="16" t="s">
        <v>9</v>
      </c>
      <c r="M7" s="16" t="s">
        <v>77</v>
      </c>
    </row>
    <row r="8" spans="1:13" s="16" customFormat="1" x14ac:dyDescent="0.25">
      <c r="A8" s="16" t="s">
        <v>254</v>
      </c>
      <c r="B8" s="16" t="s">
        <v>53</v>
      </c>
      <c r="C8" s="16" t="s">
        <v>122</v>
      </c>
      <c r="D8" s="16" t="s">
        <v>256</v>
      </c>
      <c r="E8" s="25" t="s">
        <v>257</v>
      </c>
      <c r="F8" s="16" t="s">
        <v>255</v>
      </c>
      <c r="G8" s="16" t="s">
        <v>21</v>
      </c>
      <c r="H8" s="16" t="s">
        <v>258</v>
      </c>
      <c r="I8" s="16" t="s">
        <v>8</v>
      </c>
      <c r="J8" s="16" t="s">
        <v>250</v>
      </c>
      <c r="K8" s="16" t="s">
        <v>259</v>
      </c>
      <c r="L8" s="16" t="s">
        <v>9</v>
      </c>
      <c r="M8" s="16" t="s">
        <v>260</v>
      </c>
    </row>
    <row r="9" spans="1:13" s="16" customFormat="1" x14ac:dyDescent="0.25">
      <c r="A9" s="16" t="s">
        <v>269</v>
      </c>
      <c r="B9" s="16" t="s">
        <v>53</v>
      </c>
      <c r="C9" s="16" t="s">
        <v>122</v>
      </c>
      <c r="D9" s="16" t="s">
        <v>271</v>
      </c>
      <c r="E9" s="16" t="s">
        <v>272</v>
      </c>
      <c r="F9" s="16" t="s">
        <v>270</v>
      </c>
      <c r="G9" s="16" t="s">
        <v>21</v>
      </c>
      <c r="H9" s="16" t="s">
        <v>273</v>
      </c>
      <c r="I9" s="16" t="s">
        <v>8</v>
      </c>
      <c r="J9" s="16" t="s">
        <v>19</v>
      </c>
      <c r="K9" s="16" t="s">
        <v>274</v>
      </c>
      <c r="L9" s="16" t="s">
        <v>9</v>
      </c>
      <c r="M9" s="16" t="s">
        <v>275</v>
      </c>
    </row>
    <row r="10" spans="1:13" s="16" customFormat="1" x14ac:dyDescent="0.25">
      <c r="A10" s="16" t="s">
        <v>212</v>
      </c>
      <c r="B10" s="16" t="s">
        <v>53</v>
      </c>
      <c r="C10" s="16" t="s">
        <v>122</v>
      </c>
      <c r="D10" s="16" t="s">
        <v>214</v>
      </c>
      <c r="E10" s="16" t="s">
        <v>215</v>
      </c>
      <c r="F10" s="16" t="s">
        <v>213</v>
      </c>
      <c r="G10" s="16" t="s">
        <v>21</v>
      </c>
      <c r="H10" s="16" t="s">
        <v>216</v>
      </c>
      <c r="I10" s="16" t="s">
        <v>217</v>
      </c>
      <c r="J10" s="16" t="s">
        <v>10</v>
      </c>
      <c r="K10" s="16" t="s">
        <v>218</v>
      </c>
      <c r="L10" s="16" t="s">
        <v>219</v>
      </c>
      <c r="M10" s="16" t="s">
        <v>220</v>
      </c>
    </row>
    <row r="11" spans="1:13" s="16" customFormat="1" x14ac:dyDescent="0.25">
      <c r="A11" s="16" t="s">
        <v>68</v>
      </c>
      <c r="B11" s="16" t="s">
        <v>53</v>
      </c>
      <c r="C11" s="16" t="s">
        <v>122</v>
      </c>
      <c r="D11" s="16" t="s">
        <v>130</v>
      </c>
      <c r="E11" s="16" t="s">
        <v>70</v>
      </c>
      <c r="F11" s="16" t="s">
        <v>69</v>
      </c>
      <c r="G11" s="16" t="s">
        <v>71</v>
      </c>
      <c r="H11" s="16" t="s">
        <v>131</v>
      </c>
      <c r="I11" s="16" t="s">
        <v>8</v>
      </c>
      <c r="J11" s="16" t="s">
        <v>22</v>
      </c>
      <c r="K11" s="16" t="s">
        <v>72</v>
      </c>
      <c r="L11" s="16" t="s">
        <v>9</v>
      </c>
      <c r="M11" s="16" t="s">
        <v>73</v>
      </c>
    </row>
    <row r="12" spans="1:13" s="16" customFormat="1" x14ac:dyDescent="0.25">
      <c r="A12" s="16" t="s">
        <v>261</v>
      </c>
      <c r="B12" s="16" t="s">
        <v>53</v>
      </c>
      <c r="C12" s="16" t="s">
        <v>122</v>
      </c>
      <c r="D12" s="16" t="s">
        <v>263</v>
      </c>
      <c r="E12" s="16" t="s">
        <v>264</v>
      </c>
      <c r="F12" s="16" t="s">
        <v>262</v>
      </c>
      <c r="G12" s="16" t="s">
        <v>265</v>
      </c>
      <c r="H12" s="16" t="s">
        <v>266</v>
      </c>
      <c r="I12" s="16" t="s">
        <v>8</v>
      </c>
      <c r="J12" s="16" t="s">
        <v>19</v>
      </c>
      <c r="K12" s="16" t="s">
        <v>267</v>
      </c>
      <c r="L12" s="16" t="s">
        <v>9</v>
      </c>
      <c r="M12" s="16" t="s">
        <v>268</v>
      </c>
    </row>
    <row r="13" spans="1:13" s="16" customFormat="1" x14ac:dyDescent="0.25">
      <c r="A13" s="16" t="s">
        <v>88</v>
      </c>
      <c r="B13" s="16" t="s">
        <v>53</v>
      </c>
      <c r="C13" s="16" t="s">
        <v>122</v>
      </c>
      <c r="D13" s="16" t="s">
        <v>138</v>
      </c>
      <c r="E13" s="16" t="s">
        <v>328</v>
      </c>
      <c r="F13" s="16" t="s">
        <v>89</v>
      </c>
      <c r="G13" s="16" t="s">
        <v>24</v>
      </c>
      <c r="H13" s="16" t="s">
        <v>139</v>
      </c>
      <c r="I13" s="16" t="s">
        <v>8</v>
      </c>
      <c r="J13" s="16" t="s">
        <v>10</v>
      </c>
      <c r="K13" s="16" t="s">
        <v>90</v>
      </c>
      <c r="L13" s="16" t="s">
        <v>9</v>
      </c>
      <c r="M13" s="16" t="s">
        <v>91</v>
      </c>
    </row>
    <row r="14" spans="1:13" s="16" customFormat="1" x14ac:dyDescent="0.25">
      <c r="A14" s="16" t="s">
        <v>297</v>
      </c>
      <c r="B14" s="16" t="s">
        <v>53</v>
      </c>
      <c r="C14" s="16" t="s">
        <v>122</v>
      </c>
      <c r="D14" s="16" t="s">
        <v>299</v>
      </c>
      <c r="E14" s="16" t="s">
        <v>300</v>
      </c>
      <c r="F14" s="16" t="s">
        <v>298</v>
      </c>
      <c r="G14" s="16" t="s">
        <v>18</v>
      </c>
      <c r="H14" s="16" t="s">
        <v>301</v>
      </c>
      <c r="I14" s="16" t="s">
        <v>8</v>
      </c>
      <c r="J14" s="16" t="s">
        <v>250</v>
      </c>
      <c r="K14" s="16" t="s">
        <v>302</v>
      </c>
      <c r="L14" s="16" t="s">
        <v>20</v>
      </c>
      <c r="M14" s="16" t="s">
        <v>303</v>
      </c>
    </row>
    <row r="15" spans="1:13" s="16" customFormat="1" x14ac:dyDescent="0.25">
      <c r="A15" s="16" t="s">
        <v>57</v>
      </c>
      <c r="B15" s="16" t="s">
        <v>53</v>
      </c>
      <c r="C15" s="16" t="s">
        <v>122</v>
      </c>
      <c r="D15" s="16" t="s">
        <v>125</v>
      </c>
      <c r="E15" s="16" t="s">
        <v>59</v>
      </c>
      <c r="F15" s="16" t="s">
        <v>58</v>
      </c>
      <c r="G15" s="16" t="s">
        <v>21</v>
      </c>
      <c r="H15" s="16" t="s">
        <v>126</v>
      </c>
      <c r="I15" s="16" t="s">
        <v>8</v>
      </c>
      <c r="J15" s="16" t="s">
        <v>10</v>
      </c>
      <c r="K15" s="16" t="s">
        <v>60</v>
      </c>
      <c r="L15" s="16" t="s">
        <v>9</v>
      </c>
      <c r="M15" s="16" t="s">
        <v>63</v>
      </c>
    </row>
    <row r="16" spans="1:13" s="16" customFormat="1" x14ac:dyDescent="0.25">
      <c r="A16" s="16" t="s">
        <v>57</v>
      </c>
      <c r="B16" s="16" t="s">
        <v>53</v>
      </c>
      <c r="C16" s="16" t="s">
        <v>122</v>
      </c>
      <c r="D16" s="16" t="s">
        <v>125</v>
      </c>
      <c r="E16" s="16" t="s">
        <v>59</v>
      </c>
      <c r="F16" s="16" t="s">
        <v>58</v>
      </c>
      <c r="G16" s="16" t="s">
        <v>21</v>
      </c>
      <c r="H16" s="16" t="s">
        <v>126</v>
      </c>
      <c r="I16" s="16" t="s">
        <v>8</v>
      </c>
      <c r="J16" s="16" t="s">
        <v>10</v>
      </c>
      <c r="K16" s="16" t="s">
        <v>60</v>
      </c>
      <c r="L16" s="16" t="s">
        <v>9</v>
      </c>
      <c r="M16" s="16" t="s">
        <v>61</v>
      </c>
    </row>
    <row r="17" spans="1:13" s="16" customFormat="1" x14ac:dyDescent="0.25">
      <c r="A17" s="16" t="s">
        <v>57</v>
      </c>
      <c r="B17" s="16" t="s">
        <v>53</v>
      </c>
      <c r="C17" s="16" t="s">
        <v>122</v>
      </c>
      <c r="D17" s="16" t="s">
        <v>125</v>
      </c>
      <c r="E17" s="16" t="s">
        <v>59</v>
      </c>
      <c r="F17" s="16" t="s">
        <v>58</v>
      </c>
      <c r="G17" s="16" t="s">
        <v>21</v>
      </c>
      <c r="H17" s="16" t="s">
        <v>126</v>
      </c>
      <c r="I17" s="16" t="s">
        <v>8</v>
      </c>
      <c r="J17" s="16" t="s">
        <v>10</v>
      </c>
      <c r="K17" s="16" t="s">
        <v>60</v>
      </c>
      <c r="L17" s="16" t="s">
        <v>9</v>
      </c>
      <c r="M17" s="16" t="s">
        <v>62</v>
      </c>
    </row>
    <row r="18" spans="1:13" s="16" customFormat="1" x14ac:dyDescent="0.25">
      <c r="A18" s="16" t="s">
        <v>158</v>
      </c>
      <c r="B18" s="16" t="s">
        <v>53</v>
      </c>
      <c r="C18" s="16" t="s">
        <v>122</v>
      </c>
      <c r="D18" s="16" t="s">
        <v>160</v>
      </c>
      <c r="E18" s="25" t="s">
        <v>161</v>
      </c>
      <c r="F18" s="16" t="s">
        <v>159</v>
      </c>
      <c r="G18" s="16" t="s">
        <v>21</v>
      </c>
      <c r="H18" s="16" t="s">
        <v>162</v>
      </c>
      <c r="I18" s="16" t="s">
        <v>8</v>
      </c>
      <c r="J18" s="16" t="s">
        <v>22</v>
      </c>
      <c r="K18" s="16" t="s">
        <v>163</v>
      </c>
      <c r="L18" s="16" t="s">
        <v>9</v>
      </c>
      <c r="M18" s="16" t="s">
        <v>164</v>
      </c>
    </row>
    <row r="19" spans="1:13" s="16" customFormat="1" x14ac:dyDescent="0.25">
      <c r="A19" s="16" t="s">
        <v>158</v>
      </c>
      <c r="B19" s="16" t="s">
        <v>53</v>
      </c>
      <c r="C19" s="16" t="s">
        <v>122</v>
      </c>
      <c r="D19" s="16" t="s">
        <v>160</v>
      </c>
      <c r="E19" s="25" t="s">
        <v>161</v>
      </c>
      <c r="F19" s="16" t="s">
        <v>159</v>
      </c>
      <c r="G19" s="16" t="s">
        <v>21</v>
      </c>
      <c r="H19" s="16" t="s">
        <v>165</v>
      </c>
      <c r="I19" s="16" t="s">
        <v>8</v>
      </c>
      <c r="J19" s="16" t="s">
        <v>22</v>
      </c>
      <c r="K19" s="16" t="s">
        <v>166</v>
      </c>
      <c r="L19" s="16" t="s">
        <v>9</v>
      </c>
      <c r="M19" s="16" t="s">
        <v>167</v>
      </c>
    </row>
    <row r="20" spans="1:13" s="16" customFormat="1" x14ac:dyDescent="0.25">
      <c r="A20" s="16" t="s">
        <v>290</v>
      </c>
      <c r="B20" s="16" t="s">
        <v>53</v>
      </c>
      <c r="C20" s="16" t="s">
        <v>122</v>
      </c>
      <c r="D20" s="16" t="s">
        <v>292</v>
      </c>
      <c r="E20" s="16" t="s">
        <v>293</v>
      </c>
      <c r="F20" s="16" t="s">
        <v>291</v>
      </c>
      <c r="G20" s="16" t="s">
        <v>24</v>
      </c>
      <c r="H20" s="16" t="s">
        <v>294</v>
      </c>
      <c r="I20" s="16" t="s">
        <v>8</v>
      </c>
      <c r="J20" s="16" t="s">
        <v>115</v>
      </c>
      <c r="K20" s="16" t="s">
        <v>295</v>
      </c>
      <c r="L20" s="16" t="s">
        <v>9</v>
      </c>
      <c r="M20" s="16" t="s">
        <v>296</v>
      </c>
    </row>
    <row r="21" spans="1:13" s="16" customFormat="1" x14ac:dyDescent="0.25">
      <c r="A21" s="16" t="s">
        <v>103</v>
      </c>
      <c r="B21" s="16" t="s">
        <v>53</v>
      </c>
      <c r="C21" s="16" t="s">
        <v>122</v>
      </c>
      <c r="D21" s="16" t="s">
        <v>144</v>
      </c>
      <c r="E21" s="16" t="s">
        <v>119</v>
      </c>
      <c r="F21" s="16" t="s">
        <v>104</v>
      </c>
      <c r="G21" s="16" t="s">
        <v>21</v>
      </c>
      <c r="H21" s="16" t="s">
        <v>145</v>
      </c>
      <c r="I21" s="16" t="s">
        <v>8</v>
      </c>
      <c r="J21" s="16" t="s">
        <v>13</v>
      </c>
      <c r="K21" s="16" t="s">
        <v>105</v>
      </c>
      <c r="L21" s="16" t="s">
        <v>20</v>
      </c>
      <c r="M21" s="16" t="s">
        <v>106</v>
      </c>
    </row>
    <row r="22" spans="1:13" s="16" customFormat="1" x14ac:dyDescent="0.25">
      <c r="A22" s="16" t="s">
        <v>304</v>
      </c>
      <c r="B22" s="16" t="s">
        <v>53</v>
      </c>
      <c r="C22" s="16" t="s">
        <v>122</v>
      </c>
      <c r="D22" s="16" t="s">
        <v>306</v>
      </c>
      <c r="E22" s="16" t="s">
        <v>307</v>
      </c>
      <c r="F22" s="16" t="s">
        <v>305</v>
      </c>
      <c r="G22" s="16" t="s">
        <v>21</v>
      </c>
      <c r="H22" s="16" t="s">
        <v>308</v>
      </c>
      <c r="I22" s="16" t="s">
        <v>217</v>
      </c>
      <c r="J22" s="16" t="s">
        <v>22</v>
      </c>
      <c r="K22" s="16" t="s">
        <v>309</v>
      </c>
      <c r="L22" s="16" t="s">
        <v>9</v>
      </c>
      <c r="M22" s="16" t="s">
        <v>310</v>
      </c>
    </row>
    <row r="23" spans="1:13" s="16" customFormat="1" x14ac:dyDescent="0.25">
      <c r="A23" s="16" t="s">
        <v>30</v>
      </c>
      <c r="B23" s="16" t="s">
        <v>53</v>
      </c>
      <c r="C23" s="16" t="s">
        <v>122</v>
      </c>
      <c r="D23" s="16" t="s">
        <v>146</v>
      </c>
      <c r="E23" s="16" t="s">
        <v>32</v>
      </c>
      <c r="F23" s="16" t="s">
        <v>31</v>
      </c>
      <c r="G23" s="16" t="s">
        <v>25</v>
      </c>
      <c r="H23" s="16" t="s">
        <v>147</v>
      </c>
      <c r="I23" s="16" t="s">
        <v>8</v>
      </c>
      <c r="J23" s="16" t="s">
        <v>19</v>
      </c>
      <c r="K23" s="16" t="s">
        <v>107</v>
      </c>
      <c r="L23" s="16" t="s">
        <v>9</v>
      </c>
      <c r="M23" s="16" t="s">
        <v>108</v>
      </c>
    </row>
    <row r="24" spans="1:13" s="16" customFormat="1" x14ac:dyDescent="0.25">
      <c r="A24" s="16" t="s">
        <v>109</v>
      </c>
      <c r="B24" s="16" t="s">
        <v>53</v>
      </c>
      <c r="C24" s="16" t="s">
        <v>122</v>
      </c>
      <c r="D24" s="16" t="s">
        <v>148</v>
      </c>
      <c r="E24" s="16" t="s">
        <v>32</v>
      </c>
      <c r="F24" s="16" t="s">
        <v>110</v>
      </c>
      <c r="G24" s="16" t="s">
        <v>18</v>
      </c>
      <c r="H24" s="16" t="s">
        <v>147</v>
      </c>
      <c r="I24" s="16" t="s">
        <v>8</v>
      </c>
      <c r="J24" s="16" t="s">
        <v>22</v>
      </c>
      <c r="K24" s="16" t="s">
        <v>107</v>
      </c>
      <c r="L24" s="16" t="s">
        <v>9</v>
      </c>
      <c r="M24" s="16" t="s">
        <v>108</v>
      </c>
    </row>
    <row r="25" spans="1:13" s="16" customFormat="1" x14ac:dyDescent="0.25">
      <c r="A25" s="16" t="s">
        <v>16</v>
      </c>
      <c r="B25" s="16" t="s">
        <v>53</v>
      </c>
      <c r="C25" s="16" t="s">
        <v>122</v>
      </c>
      <c r="D25" s="16" t="s">
        <v>127</v>
      </c>
      <c r="E25" s="16" t="s">
        <v>150</v>
      </c>
      <c r="F25" s="16" t="s">
        <v>17</v>
      </c>
      <c r="G25" s="16" t="s">
        <v>18</v>
      </c>
      <c r="H25" s="16" t="s">
        <v>128</v>
      </c>
      <c r="I25" s="16" t="s">
        <v>8</v>
      </c>
      <c r="J25" s="16" t="s">
        <v>10</v>
      </c>
      <c r="K25" s="16" t="s">
        <v>64</v>
      </c>
      <c r="L25" s="16" t="s">
        <v>9</v>
      </c>
      <c r="M25" s="16" t="s">
        <v>65</v>
      </c>
    </row>
    <row r="26" spans="1:13" s="16" customFormat="1" x14ac:dyDescent="0.25">
      <c r="A26" s="16" t="s">
        <v>16</v>
      </c>
      <c r="B26" s="16" t="s">
        <v>53</v>
      </c>
      <c r="C26" s="16" t="s">
        <v>122</v>
      </c>
      <c r="D26" s="16" t="s">
        <v>127</v>
      </c>
      <c r="E26" s="16" t="s">
        <v>150</v>
      </c>
      <c r="F26" s="16" t="s">
        <v>17</v>
      </c>
      <c r="G26" s="16" t="s">
        <v>18</v>
      </c>
      <c r="H26" s="16" t="s">
        <v>129</v>
      </c>
      <c r="I26" s="16" t="s">
        <v>8</v>
      </c>
      <c r="J26" s="16" t="s">
        <v>19</v>
      </c>
      <c r="K26" s="16" t="s">
        <v>66</v>
      </c>
      <c r="L26" s="16" t="s">
        <v>9</v>
      </c>
      <c r="M26" s="16" t="s">
        <v>67</v>
      </c>
    </row>
    <row r="27" spans="1:13" s="16" customFormat="1" x14ac:dyDescent="0.25">
      <c r="A27" s="16" t="s">
        <v>79</v>
      </c>
      <c r="B27" s="16" t="s">
        <v>53</v>
      </c>
      <c r="C27" s="16" t="s">
        <v>122</v>
      </c>
      <c r="D27" s="16" t="s">
        <v>135</v>
      </c>
      <c r="E27" s="16" t="s">
        <v>81</v>
      </c>
      <c r="F27" s="16" t="s">
        <v>80</v>
      </c>
      <c r="G27" s="16" t="s">
        <v>82</v>
      </c>
      <c r="H27" s="16" t="s">
        <v>136</v>
      </c>
      <c r="I27" s="16" t="s">
        <v>8</v>
      </c>
      <c r="J27" s="16" t="s">
        <v>13</v>
      </c>
      <c r="K27" s="16" t="s">
        <v>83</v>
      </c>
      <c r="L27" s="16" t="s">
        <v>9</v>
      </c>
      <c r="M27" s="16" t="s">
        <v>84</v>
      </c>
    </row>
    <row r="28" spans="1:13" s="16" customFormat="1" x14ac:dyDescent="0.25">
      <c r="A28" s="16" t="s">
        <v>85</v>
      </c>
      <c r="B28" s="16" t="s">
        <v>53</v>
      </c>
      <c r="C28" s="16" t="s">
        <v>122</v>
      </c>
      <c r="D28" s="16" t="s">
        <v>135</v>
      </c>
      <c r="E28" s="16" t="s">
        <v>81</v>
      </c>
      <c r="F28" s="16" t="s">
        <v>86</v>
      </c>
      <c r="G28" s="16" t="s">
        <v>29</v>
      </c>
      <c r="H28" s="16" t="s">
        <v>137</v>
      </c>
      <c r="I28" s="16" t="s">
        <v>8</v>
      </c>
      <c r="J28" s="16" t="s">
        <v>22</v>
      </c>
      <c r="K28" s="16" t="s">
        <v>87</v>
      </c>
      <c r="L28" s="16" t="s">
        <v>9</v>
      </c>
      <c r="M28" s="16" t="s">
        <v>84</v>
      </c>
    </row>
    <row r="29" spans="1:13" s="16" customFormat="1" x14ac:dyDescent="0.25">
      <c r="A29" s="16" t="s">
        <v>111</v>
      </c>
      <c r="B29" s="16" t="s">
        <v>53</v>
      </c>
      <c r="C29" s="16" t="s">
        <v>122</v>
      </c>
      <c r="D29" s="16" t="s">
        <v>149</v>
      </c>
      <c r="E29" s="16" t="s">
        <v>113</v>
      </c>
      <c r="F29" s="16" t="s">
        <v>112</v>
      </c>
      <c r="G29" s="16" t="s">
        <v>82</v>
      </c>
      <c r="H29" s="16" t="s">
        <v>114</v>
      </c>
      <c r="I29" s="16" t="s">
        <v>8</v>
      </c>
      <c r="J29" s="16" t="s">
        <v>115</v>
      </c>
      <c r="K29" s="16" t="s">
        <v>116</v>
      </c>
      <c r="L29" s="16" t="s">
        <v>9</v>
      </c>
      <c r="M29" s="16" t="s">
        <v>117</v>
      </c>
    </row>
    <row r="30" spans="1:13" s="16" customFormat="1" x14ac:dyDescent="0.25">
      <c r="A30" s="16" t="s">
        <v>318</v>
      </c>
      <c r="B30" s="16" t="s">
        <v>53</v>
      </c>
      <c r="C30" s="16" t="s">
        <v>122</v>
      </c>
      <c r="D30" s="16" t="s">
        <v>320</v>
      </c>
      <c r="E30" s="16" t="s">
        <v>321</v>
      </c>
      <c r="F30" s="16" t="s">
        <v>319</v>
      </c>
      <c r="G30" s="16" t="s">
        <v>322</v>
      </c>
      <c r="H30" s="16" t="s">
        <v>323</v>
      </c>
      <c r="I30" s="16" t="s">
        <v>8</v>
      </c>
      <c r="J30" s="16" t="s">
        <v>19</v>
      </c>
      <c r="K30" s="16" t="s">
        <v>324</v>
      </c>
      <c r="L30" s="16" t="s">
        <v>9</v>
      </c>
      <c r="M30" s="16" t="s">
        <v>325</v>
      </c>
    </row>
    <row r="31" spans="1:13" s="16" customFormat="1" x14ac:dyDescent="0.25">
      <c r="A31" s="16" t="s">
        <v>205</v>
      </c>
      <c r="B31" s="16" t="s">
        <v>53</v>
      </c>
      <c r="C31" s="16" t="s">
        <v>122</v>
      </c>
      <c r="D31" s="16" t="s">
        <v>207</v>
      </c>
      <c r="E31" s="25" t="s">
        <v>208</v>
      </c>
      <c r="F31" s="16" t="s">
        <v>206</v>
      </c>
      <c r="G31" s="16" t="s">
        <v>21</v>
      </c>
      <c r="H31" s="16" t="s">
        <v>209</v>
      </c>
      <c r="I31" s="16" t="s">
        <v>8</v>
      </c>
      <c r="J31" s="16" t="s">
        <v>22</v>
      </c>
      <c r="K31" s="16" t="s">
        <v>210</v>
      </c>
      <c r="L31" s="16" t="s">
        <v>9</v>
      </c>
      <c r="M31" s="16" t="s">
        <v>211</v>
      </c>
    </row>
    <row r="32" spans="1:13" s="16" customFormat="1" x14ac:dyDescent="0.25">
      <c r="A32" s="16" t="s">
        <v>92</v>
      </c>
      <c r="B32" s="16" t="s">
        <v>53</v>
      </c>
      <c r="C32" s="16" t="s">
        <v>122</v>
      </c>
      <c r="D32" s="16" t="s">
        <v>140</v>
      </c>
      <c r="E32" s="16" t="s">
        <v>94</v>
      </c>
      <c r="F32" s="16" t="s">
        <v>93</v>
      </c>
      <c r="G32" s="16" t="s">
        <v>95</v>
      </c>
      <c r="H32" s="16" t="s">
        <v>141</v>
      </c>
      <c r="I32" s="16" t="s">
        <v>8</v>
      </c>
      <c r="J32" s="16" t="s">
        <v>19</v>
      </c>
      <c r="K32" s="16" t="s">
        <v>96</v>
      </c>
      <c r="L32" s="16" t="s">
        <v>9</v>
      </c>
      <c r="M32" s="16" t="s">
        <v>97</v>
      </c>
    </row>
    <row r="33" spans="1:13" s="16" customFormat="1" x14ac:dyDescent="0.25">
      <c r="A33" s="16" t="s">
        <v>168</v>
      </c>
      <c r="B33" s="16" t="s">
        <v>53</v>
      </c>
      <c r="C33" s="16" t="s">
        <v>122</v>
      </c>
      <c r="D33" s="16" t="s">
        <v>170</v>
      </c>
      <c r="E33" s="16" t="s">
        <v>94</v>
      </c>
      <c r="F33" s="16" t="s">
        <v>169</v>
      </c>
      <c r="G33" s="16" t="s">
        <v>24</v>
      </c>
      <c r="H33" s="16" t="s">
        <v>242</v>
      </c>
      <c r="I33" s="16" t="s">
        <v>8</v>
      </c>
      <c r="J33" s="16" t="s">
        <v>10</v>
      </c>
      <c r="K33" s="16" t="s">
        <v>243</v>
      </c>
      <c r="L33" s="16" t="s">
        <v>9</v>
      </c>
      <c r="M33" s="16" t="s">
        <v>244</v>
      </c>
    </row>
    <row r="34" spans="1:13" s="16" customFormat="1" x14ac:dyDescent="0.25">
      <c r="A34" s="16" t="s">
        <v>168</v>
      </c>
      <c r="B34" s="16" t="s">
        <v>53</v>
      </c>
      <c r="C34" s="16" t="s">
        <v>122</v>
      </c>
      <c r="D34" s="16" t="s">
        <v>170</v>
      </c>
      <c r="E34" s="16" t="s">
        <v>94</v>
      </c>
      <c r="F34" s="16" t="s">
        <v>169</v>
      </c>
      <c r="G34" s="16" t="s">
        <v>24</v>
      </c>
      <c r="H34" s="16" t="s">
        <v>175</v>
      </c>
      <c r="I34" s="16" t="s">
        <v>8</v>
      </c>
      <c r="J34" s="16" t="s">
        <v>10</v>
      </c>
      <c r="K34" s="16" t="s">
        <v>176</v>
      </c>
      <c r="L34" s="16" t="s">
        <v>173</v>
      </c>
      <c r="M34" s="16" t="s">
        <v>177</v>
      </c>
    </row>
    <row r="35" spans="1:13" s="16" customFormat="1" x14ac:dyDescent="0.25">
      <c r="A35" s="16" t="s">
        <v>168</v>
      </c>
      <c r="B35" s="16" t="s">
        <v>53</v>
      </c>
      <c r="C35" s="16" t="s">
        <v>122</v>
      </c>
      <c r="D35" s="16" t="s">
        <v>170</v>
      </c>
      <c r="E35" s="16" t="s">
        <v>94</v>
      </c>
      <c r="F35" s="16" t="s">
        <v>169</v>
      </c>
      <c r="G35" s="16" t="s">
        <v>24</v>
      </c>
      <c r="H35" s="16" t="s">
        <v>171</v>
      </c>
      <c r="I35" s="16" t="s">
        <v>8</v>
      </c>
      <c r="J35" s="16" t="s">
        <v>10</v>
      </c>
      <c r="K35" s="16" t="s">
        <v>172</v>
      </c>
      <c r="L35" s="16" t="s">
        <v>173</v>
      </c>
      <c r="M35" s="16" t="s">
        <v>174</v>
      </c>
    </row>
    <row r="36" spans="1:13" s="16" customFormat="1" x14ac:dyDescent="0.25">
      <c r="A36" s="16" t="s">
        <v>168</v>
      </c>
      <c r="B36" s="16" t="s">
        <v>53</v>
      </c>
      <c r="C36" s="16" t="s">
        <v>122</v>
      </c>
      <c r="D36" s="16" t="s">
        <v>170</v>
      </c>
      <c r="E36" s="16" t="s">
        <v>94</v>
      </c>
      <c r="F36" s="16" t="s">
        <v>169</v>
      </c>
      <c r="G36" s="16" t="s">
        <v>24</v>
      </c>
      <c r="H36" s="16" t="s">
        <v>239</v>
      </c>
      <c r="I36" s="16" t="s">
        <v>8</v>
      </c>
      <c r="J36" s="16" t="s">
        <v>10</v>
      </c>
      <c r="K36" s="16" t="s">
        <v>240</v>
      </c>
      <c r="L36" s="16" t="s">
        <v>9</v>
      </c>
      <c r="M36" s="16" t="s">
        <v>241</v>
      </c>
    </row>
    <row r="37" spans="1:13" s="16" customFormat="1" x14ac:dyDescent="0.25">
      <c r="A37" s="16" t="s">
        <v>168</v>
      </c>
      <c r="B37" s="16" t="s">
        <v>53</v>
      </c>
      <c r="C37" s="16" t="s">
        <v>122</v>
      </c>
      <c r="D37" s="16" t="s">
        <v>170</v>
      </c>
      <c r="E37" s="16" t="s">
        <v>94</v>
      </c>
      <c r="F37" s="16" t="s">
        <v>169</v>
      </c>
      <c r="G37" s="16" t="s">
        <v>24</v>
      </c>
      <c r="H37" s="16" t="s">
        <v>236</v>
      </c>
      <c r="I37" s="16" t="s">
        <v>8</v>
      </c>
      <c r="J37" s="16" t="s">
        <v>10</v>
      </c>
      <c r="K37" s="16" t="s">
        <v>237</v>
      </c>
      <c r="L37" s="16" t="s">
        <v>9</v>
      </c>
      <c r="M37" s="16" t="s">
        <v>238</v>
      </c>
    </row>
    <row r="38" spans="1:13" s="16" customFormat="1" x14ac:dyDescent="0.25">
      <c r="A38" s="16" t="s">
        <v>168</v>
      </c>
      <c r="B38" s="16" t="s">
        <v>53</v>
      </c>
      <c r="C38" s="16" t="s">
        <v>122</v>
      </c>
      <c r="D38" s="16" t="s">
        <v>170</v>
      </c>
      <c r="E38" s="16" t="s">
        <v>94</v>
      </c>
      <c r="F38" s="16" t="s">
        <v>169</v>
      </c>
      <c r="G38" s="16" t="s">
        <v>24</v>
      </c>
      <c r="H38" s="16" t="s">
        <v>233</v>
      </c>
      <c r="I38" s="16" t="s">
        <v>8</v>
      </c>
      <c r="J38" s="16" t="s">
        <v>10</v>
      </c>
      <c r="K38" s="16" t="s">
        <v>234</v>
      </c>
      <c r="L38" s="16" t="s">
        <v>9</v>
      </c>
      <c r="M38" s="16" t="s">
        <v>235</v>
      </c>
    </row>
    <row r="39" spans="1:13" s="16" customFormat="1" x14ac:dyDescent="0.25">
      <c r="A39" s="16" t="s">
        <v>168</v>
      </c>
      <c r="B39" s="16" t="s">
        <v>53</v>
      </c>
      <c r="C39" s="16" t="s">
        <v>122</v>
      </c>
      <c r="D39" s="16" t="s">
        <v>170</v>
      </c>
      <c r="E39" s="16" t="s">
        <v>94</v>
      </c>
      <c r="F39" s="16" t="s">
        <v>169</v>
      </c>
      <c r="G39" s="16" t="s">
        <v>24</v>
      </c>
      <c r="H39" s="16" t="s">
        <v>230</v>
      </c>
      <c r="I39" s="16" t="s">
        <v>8</v>
      </c>
      <c r="J39" s="16" t="s">
        <v>10</v>
      </c>
      <c r="K39" s="16" t="s">
        <v>231</v>
      </c>
      <c r="L39" s="16" t="s">
        <v>9</v>
      </c>
      <c r="M39" s="16" t="s">
        <v>232</v>
      </c>
    </row>
    <row r="40" spans="1:13" s="16" customFormat="1" x14ac:dyDescent="0.25">
      <c r="A40" s="16" t="s">
        <v>168</v>
      </c>
      <c r="B40" s="16" t="s">
        <v>53</v>
      </c>
      <c r="C40" s="16" t="s">
        <v>122</v>
      </c>
      <c r="D40" s="16" t="s">
        <v>170</v>
      </c>
      <c r="E40" s="16" t="s">
        <v>94</v>
      </c>
      <c r="F40" s="16" t="s">
        <v>169</v>
      </c>
      <c r="G40" s="16" t="s">
        <v>24</v>
      </c>
      <c r="H40" s="16" t="s">
        <v>227</v>
      </c>
      <c r="I40" s="16" t="s">
        <v>8</v>
      </c>
      <c r="J40" s="16" t="s">
        <v>10</v>
      </c>
      <c r="K40" s="16" t="s">
        <v>228</v>
      </c>
      <c r="L40" s="16" t="s">
        <v>9</v>
      </c>
      <c r="M40" s="16" t="s">
        <v>229</v>
      </c>
    </row>
    <row r="41" spans="1:13" s="16" customFormat="1" x14ac:dyDescent="0.25">
      <c r="A41" s="16" t="s">
        <v>168</v>
      </c>
      <c r="B41" s="16" t="s">
        <v>53</v>
      </c>
      <c r="C41" s="16" t="s">
        <v>122</v>
      </c>
      <c r="D41" s="16" t="s">
        <v>170</v>
      </c>
      <c r="E41" s="16" t="s">
        <v>94</v>
      </c>
      <c r="F41" s="16" t="s">
        <v>169</v>
      </c>
      <c r="G41" s="16" t="s">
        <v>24</v>
      </c>
      <c r="H41" s="16" t="s">
        <v>224</v>
      </c>
      <c r="I41" s="16" t="s">
        <v>8</v>
      </c>
      <c r="J41" s="16" t="s">
        <v>10</v>
      </c>
      <c r="K41" s="16" t="s">
        <v>225</v>
      </c>
      <c r="L41" s="16" t="s">
        <v>9</v>
      </c>
      <c r="M41" s="16" t="s">
        <v>226</v>
      </c>
    </row>
    <row r="42" spans="1:13" s="16" customFormat="1" x14ac:dyDescent="0.25">
      <c r="A42" s="16" t="s">
        <v>168</v>
      </c>
      <c r="B42" s="16" t="s">
        <v>53</v>
      </c>
      <c r="C42" s="16" t="s">
        <v>122</v>
      </c>
      <c r="D42" s="16" t="s">
        <v>170</v>
      </c>
      <c r="E42" s="16" t="s">
        <v>94</v>
      </c>
      <c r="F42" s="16" t="s">
        <v>169</v>
      </c>
      <c r="G42" s="16" t="s">
        <v>24</v>
      </c>
      <c r="H42" s="16" t="s">
        <v>221</v>
      </c>
      <c r="I42" s="16" t="s">
        <v>8</v>
      </c>
      <c r="J42" s="16" t="s">
        <v>10</v>
      </c>
      <c r="K42" s="16" t="s">
        <v>222</v>
      </c>
      <c r="L42" s="16" t="s">
        <v>9</v>
      </c>
      <c r="M42" s="16" t="s">
        <v>223</v>
      </c>
    </row>
    <row r="43" spans="1:13" s="16" customFormat="1" x14ac:dyDescent="0.25">
      <c r="A43" s="16" t="s">
        <v>168</v>
      </c>
      <c r="B43" s="16" t="s">
        <v>53</v>
      </c>
      <c r="C43" s="16" t="s">
        <v>122</v>
      </c>
      <c r="D43" s="16" t="s">
        <v>170</v>
      </c>
      <c r="E43" s="16" t="s">
        <v>94</v>
      </c>
      <c r="F43" s="16" t="s">
        <v>169</v>
      </c>
      <c r="G43" s="16" t="s">
        <v>24</v>
      </c>
      <c r="H43" s="16" t="s">
        <v>202</v>
      </c>
      <c r="I43" s="16" t="s">
        <v>8</v>
      </c>
      <c r="J43" s="16" t="s">
        <v>10</v>
      </c>
      <c r="K43" s="16" t="s">
        <v>203</v>
      </c>
      <c r="L43" s="16" t="s">
        <v>9</v>
      </c>
      <c r="M43" s="16" t="s">
        <v>204</v>
      </c>
    </row>
    <row r="44" spans="1:13" s="16" customFormat="1" x14ac:dyDescent="0.25">
      <c r="A44" s="16" t="s">
        <v>168</v>
      </c>
      <c r="B44" s="16" t="s">
        <v>53</v>
      </c>
      <c r="C44" s="16" t="s">
        <v>122</v>
      </c>
      <c r="D44" s="16" t="s">
        <v>170</v>
      </c>
      <c r="E44" s="16" t="s">
        <v>94</v>
      </c>
      <c r="F44" s="16" t="s">
        <v>169</v>
      </c>
      <c r="G44" s="16" t="s">
        <v>24</v>
      </c>
      <c r="H44" s="16" t="s">
        <v>199</v>
      </c>
      <c r="I44" s="16" t="s">
        <v>8</v>
      </c>
      <c r="J44" s="16" t="s">
        <v>10</v>
      </c>
      <c r="K44" s="16" t="s">
        <v>200</v>
      </c>
      <c r="L44" s="16" t="s">
        <v>173</v>
      </c>
      <c r="M44" s="16" t="s">
        <v>201</v>
      </c>
    </row>
    <row r="45" spans="1:13" s="16" customFormat="1" x14ac:dyDescent="0.25">
      <c r="A45" s="16" t="s">
        <v>168</v>
      </c>
      <c r="B45" s="16" t="s">
        <v>53</v>
      </c>
      <c r="C45" s="16" t="s">
        <v>122</v>
      </c>
      <c r="D45" s="16" t="s">
        <v>170</v>
      </c>
      <c r="E45" s="16" t="s">
        <v>94</v>
      </c>
      <c r="F45" s="16" t="s">
        <v>169</v>
      </c>
      <c r="G45" s="16" t="s">
        <v>24</v>
      </c>
      <c r="H45" s="16" t="s">
        <v>196</v>
      </c>
      <c r="I45" s="16" t="s">
        <v>8</v>
      </c>
      <c r="J45" s="16" t="s">
        <v>10</v>
      </c>
      <c r="K45" s="16" t="s">
        <v>197</v>
      </c>
      <c r="L45" s="16" t="s">
        <v>173</v>
      </c>
      <c r="M45" s="16" t="s">
        <v>198</v>
      </c>
    </row>
    <row r="46" spans="1:13" s="16" customFormat="1" x14ac:dyDescent="0.25">
      <c r="A46" s="16" t="s">
        <v>168</v>
      </c>
      <c r="B46" s="16" t="s">
        <v>53</v>
      </c>
      <c r="C46" s="16" t="s">
        <v>122</v>
      </c>
      <c r="D46" s="16" t="s">
        <v>170</v>
      </c>
      <c r="E46" s="16" t="s">
        <v>94</v>
      </c>
      <c r="F46" s="16" t="s">
        <v>169</v>
      </c>
      <c r="G46" s="16" t="s">
        <v>24</v>
      </c>
      <c r="H46" s="16" t="s">
        <v>193</v>
      </c>
      <c r="I46" s="16" t="s">
        <v>8</v>
      </c>
      <c r="J46" s="16" t="s">
        <v>10</v>
      </c>
      <c r="K46" s="16" t="s">
        <v>194</v>
      </c>
      <c r="L46" s="16" t="s">
        <v>173</v>
      </c>
      <c r="M46" s="16" t="s">
        <v>195</v>
      </c>
    </row>
    <row r="47" spans="1:13" s="16" customFormat="1" x14ac:dyDescent="0.25">
      <c r="A47" s="16" t="s">
        <v>168</v>
      </c>
      <c r="B47" s="16" t="s">
        <v>53</v>
      </c>
      <c r="C47" s="16" t="s">
        <v>122</v>
      </c>
      <c r="D47" s="16" t="s">
        <v>170</v>
      </c>
      <c r="E47" s="16" t="s">
        <v>94</v>
      </c>
      <c r="F47" s="16" t="s">
        <v>169</v>
      </c>
      <c r="G47" s="16" t="s">
        <v>24</v>
      </c>
      <c r="H47" s="16" t="s">
        <v>190</v>
      </c>
      <c r="I47" s="16" t="s">
        <v>8</v>
      </c>
      <c r="J47" s="16" t="s">
        <v>10</v>
      </c>
      <c r="K47" s="16" t="s">
        <v>191</v>
      </c>
      <c r="L47" s="16" t="s">
        <v>173</v>
      </c>
      <c r="M47" s="16" t="s">
        <v>192</v>
      </c>
    </row>
    <row r="48" spans="1:13" s="16" customFormat="1" x14ac:dyDescent="0.25">
      <c r="A48" s="16" t="s">
        <v>168</v>
      </c>
      <c r="B48" s="16" t="s">
        <v>53</v>
      </c>
      <c r="C48" s="16" t="s">
        <v>122</v>
      </c>
      <c r="D48" s="16" t="s">
        <v>170</v>
      </c>
      <c r="E48" s="16" t="s">
        <v>94</v>
      </c>
      <c r="F48" s="16" t="s">
        <v>169</v>
      </c>
      <c r="G48" s="16" t="s">
        <v>24</v>
      </c>
      <c r="H48" s="16" t="s">
        <v>187</v>
      </c>
      <c r="I48" s="16" t="s">
        <v>8</v>
      </c>
      <c r="J48" s="16" t="s">
        <v>10</v>
      </c>
      <c r="K48" s="16" t="s">
        <v>188</v>
      </c>
      <c r="L48" s="16" t="s">
        <v>173</v>
      </c>
      <c r="M48" s="16" t="s">
        <v>189</v>
      </c>
    </row>
    <row r="49" spans="1:13" s="16" customFormat="1" x14ac:dyDescent="0.25">
      <c r="A49" s="16" t="s">
        <v>168</v>
      </c>
      <c r="B49" s="16" t="s">
        <v>53</v>
      </c>
      <c r="C49" s="16" t="s">
        <v>122</v>
      </c>
      <c r="D49" s="16" t="s">
        <v>170</v>
      </c>
      <c r="E49" s="16" t="s">
        <v>94</v>
      </c>
      <c r="F49" s="16" t="s">
        <v>169</v>
      </c>
      <c r="G49" s="16" t="s">
        <v>24</v>
      </c>
      <c r="H49" s="16" t="s">
        <v>184</v>
      </c>
      <c r="I49" s="16" t="s">
        <v>8</v>
      </c>
      <c r="J49" s="16" t="s">
        <v>10</v>
      </c>
      <c r="K49" s="16" t="s">
        <v>185</v>
      </c>
      <c r="L49" s="16" t="s">
        <v>173</v>
      </c>
      <c r="M49" s="16" t="s">
        <v>186</v>
      </c>
    </row>
    <row r="50" spans="1:13" s="16" customFormat="1" x14ac:dyDescent="0.25">
      <c r="A50" s="16" t="s">
        <v>168</v>
      </c>
      <c r="B50" s="16" t="s">
        <v>53</v>
      </c>
      <c r="C50" s="16" t="s">
        <v>122</v>
      </c>
      <c r="D50" s="16" t="s">
        <v>170</v>
      </c>
      <c r="E50" s="16" t="s">
        <v>94</v>
      </c>
      <c r="F50" s="16" t="s">
        <v>169</v>
      </c>
      <c r="G50" s="16" t="s">
        <v>24</v>
      </c>
      <c r="H50" s="16" t="s">
        <v>181</v>
      </c>
      <c r="I50" s="16" t="s">
        <v>8</v>
      </c>
      <c r="J50" s="16" t="s">
        <v>10</v>
      </c>
      <c r="K50" s="16" t="s">
        <v>182</v>
      </c>
      <c r="L50" s="16" t="s">
        <v>173</v>
      </c>
      <c r="M50" s="16" t="s">
        <v>183</v>
      </c>
    </row>
    <row r="51" spans="1:13" s="16" customFormat="1" x14ac:dyDescent="0.25">
      <c r="A51" s="16" t="s">
        <v>168</v>
      </c>
      <c r="B51" s="16" t="s">
        <v>53</v>
      </c>
      <c r="C51" s="16" t="s">
        <v>122</v>
      </c>
      <c r="D51" s="16" t="s">
        <v>170</v>
      </c>
      <c r="E51" s="16" t="s">
        <v>94</v>
      </c>
      <c r="F51" s="16" t="s">
        <v>169</v>
      </c>
      <c r="G51" s="16" t="s">
        <v>24</v>
      </c>
      <c r="H51" s="16" t="s">
        <v>178</v>
      </c>
      <c r="I51" s="16" t="s">
        <v>8</v>
      </c>
      <c r="J51" s="16" t="s">
        <v>10</v>
      </c>
      <c r="K51" s="16" t="s">
        <v>179</v>
      </c>
      <c r="L51" s="16" t="s">
        <v>173</v>
      </c>
      <c r="M51" s="16" t="s">
        <v>180</v>
      </c>
    </row>
    <row r="52" spans="1:13" s="16" customFormat="1" x14ac:dyDescent="0.25">
      <c r="A52" s="16" t="s">
        <v>52</v>
      </c>
      <c r="B52" s="16" t="s">
        <v>53</v>
      </c>
      <c r="C52" s="16" t="s">
        <v>122</v>
      </c>
      <c r="D52" s="16" t="s">
        <v>123</v>
      </c>
      <c r="E52" s="16" t="s">
        <v>326</v>
      </c>
      <c r="F52" s="16" t="s">
        <v>54</v>
      </c>
      <c r="G52" s="16" t="s">
        <v>55</v>
      </c>
      <c r="H52" s="16" t="s">
        <v>124</v>
      </c>
      <c r="I52" s="16" t="s">
        <v>8</v>
      </c>
      <c r="J52" s="16" t="s">
        <v>22</v>
      </c>
      <c r="K52" s="16" t="s">
        <v>327</v>
      </c>
      <c r="L52" s="16" t="s">
        <v>9</v>
      </c>
      <c r="M52" s="16" t="s">
        <v>56</v>
      </c>
    </row>
    <row r="53" spans="1:13" s="16" customFormat="1" x14ac:dyDescent="0.25">
      <c r="A53" s="16" t="s">
        <v>245</v>
      </c>
      <c r="B53" s="16" t="s">
        <v>53</v>
      </c>
      <c r="C53" s="16" t="s">
        <v>122</v>
      </c>
      <c r="D53" s="16" t="s">
        <v>247</v>
      </c>
      <c r="E53" s="16" t="s">
        <v>248</v>
      </c>
      <c r="F53" s="16" t="s">
        <v>246</v>
      </c>
      <c r="G53" s="16" t="s">
        <v>18</v>
      </c>
      <c r="H53" s="16" t="s">
        <v>249</v>
      </c>
      <c r="I53" s="16" t="s">
        <v>217</v>
      </c>
      <c r="J53" s="16" t="s">
        <v>250</v>
      </c>
      <c r="K53" s="16" t="s">
        <v>251</v>
      </c>
      <c r="L53" s="16" t="s">
        <v>20</v>
      </c>
      <c r="M53" s="16" t="s">
        <v>252</v>
      </c>
    </row>
    <row r="54" spans="1:13" s="16" customFormat="1" x14ac:dyDescent="0.25">
      <c r="A54" s="16" t="s">
        <v>245</v>
      </c>
      <c r="B54" s="16" t="s">
        <v>53</v>
      </c>
      <c r="C54" s="16" t="s">
        <v>122</v>
      </c>
      <c r="D54" s="16" t="s">
        <v>247</v>
      </c>
      <c r="E54" s="16" t="s">
        <v>248</v>
      </c>
      <c r="F54" s="16" t="s">
        <v>246</v>
      </c>
      <c r="G54" s="16" t="s">
        <v>18</v>
      </c>
      <c r="H54" s="16" t="s">
        <v>249</v>
      </c>
      <c r="I54" s="16" t="s">
        <v>8</v>
      </c>
      <c r="J54" s="16" t="s">
        <v>250</v>
      </c>
      <c r="K54" s="16" t="s">
        <v>251</v>
      </c>
      <c r="L54" s="16" t="s">
        <v>20</v>
      </c>
      <c r="M54" s="16" t="s">
        <v>253</v>
      </c>
    </row>
    <row r="55" spans="1:13" x14ac:dyDescent="0.25">
      <c r="M55" s="10">
        <f>SUBTOTAL(103,Tableau1[Détails])</f>
        <v>53</v>
      </c>
    </row>
    <row r="57" spans="1:13" x14ac:dyDescent="0.25">
      <c r="J57" s="10" t="s">
        <v>329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F0380-D6EE-4E7C-9328-F587DB00D8C6}">
  <sheetPr codeName="Feuil5"/>
  <dimension ref="A2:B23"/>
  <sheetViews>
    <sheetView topLeftCell="A8" workbookViewId="0">
      <selection activeCell="C8" sqref="C8"/>
    </sheetView>
  </sheetViews>
  <sheetFormatPr baseColWidth="10" defaultRowHeight="15" x14ac:dyDescent="0.25"/>
  <cols>
    <col min="2" max="2" width="6.28515625" customWidth="1"/>
  </cols>
  <sheetData>
    <row r="2" spans="2:2" ht="18" x14ac:dyDescent="0.25">
      <c r="B2" s="21" t="s">
        <v>33</v>
      </c>
    </row>
    <row r="3" spans="2:2" x14ac:dyDescent="0.25">
      <c r="B3" s="22"/>
    </row>
    <row r="4" spans="2:2" ht="18" x14ac:dyDescent="0.25">
      <c r="B4" s="21" t="s">
        <v>34</v>
      </c>
    </row>
    <row r="5" spans="2:2" x14ac:dyDescent="0.25">
      <c r="B5" s="23" t="s">
        <v>35</v>
      </c>
    </row>
    <row r="6" spans="2:2" x14ac:dyDescent="0.25">
      <c r="B6" s="23" t="s">
        <v>36</v>
      </c>
    </row>
    <row r="7" spans="2:2" x14ac:dyDescent="0.25">
      <c r="B7" s="23" t="s">
        <v>37</v>
      </c>
    </row>
    <row r="8" spans="2:2" x14ac:dyDescent="0.25">
      <c r="B8" s="23" t="s">
        <v>38</v>
      </c>
    </row>
    <row r="9" spans="2:2" x14ac:dyDescent="0.25">
      <c r="B9" s="22"/>
    </row>
    <row r="10" spans="2:2" ht="18" x14ac:dyDescent="0.25">
      <c r="B10" s="21" t="s">
        <v>39</v>
      </c>
    </row>
    <row r="11" spans="2:2" x14ac:dyDescent="0.25">
      <c r="B11" s="23" t="s">
        <v>40</v>
      </c>
    </row>
    <row r="12" spans="2:2" x14ac:dyDescent="0.25">
      <c r="B12" s="22"/>
    </row>
    <row r="13" spans="2:2" ht="18" x14ac:dyDescent="0.25">
      <c r="B13" s="21" t="s">
        <v>41</v>
      </c>
    </row>
    <row r="14" spans="2:2" x14ac:dyDescent="0.25">
      <c r="B14" s="23" t="s">
        <v>42</v>
      </c>
    </row>
    <row r="15" spans="2:2" x14ac:dyDescent="0.25">
      <c r="B15" s="23" t="s">
        <v>43</v>
      </c>
    </row>
    <row r="16" spans="2:2" x14ac:dyDescent="0.25">
      <c r="B16" s="22"/>
    </row>
    <row r="17" spans="1:2" ht="18" x14ac:dyDescent="0.25">
      <c r="B17" s="21" t="s">
        <v>44</v>
      </c>
    </row>
    <row r="18" spans="1:2" ht="16.5" customHeight="1" x14ac:dyDescent="0.25">
      <c r="B18" s="23" t="s">
        <v>45</v>
      </c>
    </row>
    <row r="19" spans="1:2" x14ac:dyDescent="0.25">
      <c r="B19" s="22"/>
    </row>
    <row r="20" spans="1:2" ht="18" x14ac:dyDescent="0.25">
      <c r="B20" s="21" t="s">
        <v>46</v>
      </c>
    </row>
    <row r="21" spans="1:2" x14ac:dyDescent="0.25">
      <c r="A21" t="s">
        <v>47</v>
      </c>
      <c r="B21" s="23" t="s">
        <v>48</v>
      </c>
    </row>
    <row r="22" spans="1:2" x14ac:dyDescent="0.25">
      <c r="B22" s="23" t="s">
        <v>49</v>
      </c>
    </row>
    <row r="23" spans="1:2" x14ac:dyDescent="0.25">
      <c r="B23" s="23" t="s">
        <v>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AA370B73D08314D94AD69561BBF9DAD" ma:contentTypeVersion="15" ma:contentTypeDescription="Crée un document." ma:contentTypeScope="" ma:versionID="d21ed9312f42d23243328d8904972c98">
  <xsd:schema xmlns:xsd="http://www.w3.org/2001/XMLSchema" xmlns:xs="http://www.w3.org/2001/XMLSchema" xmlns:p="http://schemas.microsoft.com/office/2006/metadata/properties" xmlns:ns2="ceb580f4-ede6-4114-ad45-cacf7dc6c8a5" xmlns:ns3="31bc1197-24ba-4a79-b81b-c0e8fd88fdbd" targetNamespace="http://schemas.microsoft.com/office/2006/metadata/properties" ma:root="true" ma:fieldsID="db6cb6ab9db99b3330e2544aec48a867" ns2:_="" ns3:_="">
    <xsd:import namespace="ceb580f4-ede6-4114-ad45-cacf7dc6c8a5"/>
    <xsd:import namespace="31bc1197-24ba-4a79-b81b-c0e8fd88fdb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LengthInSeconds" minOccurs="0"/>
                <xsd:element ref="ns2:MediaServiceOCR"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b580f4-ede6-4114-ad45-cacf7dc6c8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Balises d’images" ma:readOnly="false" ma:fieldId="{5cf76f15-5ced-4ddc-b409-7134ff3c332f}" ma:taxonomyMulti="true" ma:sspId="22c4bed4-f237-4052-be04-cd97a59912ff" ma:termSetId="09814cd3-568e-fe90-9814-8d621ff8fb84" ma:anchorId="fba54fb3-c3e1-fe81-a776-ca4b69148c4d" ma:open="true" ma:isKeyword="false">
      <xsd:complexType>
        <xsd:sequence>
          <xsd:element ref="pc:Terms" minOccurs="0" maxOccurs="1"/>
        </xsd:sequence>
      </xsd:complex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1bc1197-24ba-4a79-b81b-c0e8fd88fdbd" elementFormDefault="qualified">
    <xsd:import namespace="http://schemas.microsoft.com/office/2006/documentManagement/types"/>
    <xsd:import namespace="http://schemas.microsoft.com/office/infopath/2007/PartnerControls"/>
    <xsd:element name="SharedWithUsers" ma:index="10"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Partagé avec détails" ma:internalName="SharedWithDetails" ma:readOnly="true">
      <xsd:simpleType>
        <xsd:restriction base="dms:Note">
          <xsd:maxLength value="255"/>
        </xsd:restriction>
      </xsd:simpleType>
    </xsd:element>
    <xsd:element name="TaxCatchAll" ma:index="15" nillable="true" ma:displayName="Taxonomy Catch All Column" ma:hidden="true" ma:list="{c0728b7c-72b7-4aef-88e7-09c2a3c53ee5}" ma:internalName="TaxCatchAll" ma:showField="CatchAllData" ma:web="31bc1197-24ba-4a79-b81b-c0e8fd88fdb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30EAEE3-310D-4984-B265-9A49B74A54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b580f4-ede6-4114-ad45-cacf7dc6c8a5"/>
    <ds:schemaRef ds:uri="31bc1197-24ba-4a79-b81b-c0e8fd88fd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0D4BF9C-DE4C-47C4-A797-21B5407ADF9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INFOS</vt:lpstr>
      <vt:lpstr>RDV</vt:lpstr>
      <vt:lpstr>Stats</vt:lpstr>
      <vt:lpstr>Entretien</vt:lpstr>
      <vt:lpstr>RECRUTEURS</vt:lpstr>
      <vt:lpstr>PROCEDURE ENTRETIEN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Emilie REDOUTE - La Ciotat Entreprendre</dc:creator>
  <cp:lastModifiedBy>romain SEBASTIANI</cp:lastModifiedBy>
  <dcterms:created xsi:type="dcterms:W3CDTF">2024-05-09T11:02:09Z</dcterms:created>
  <dcterms:modified xsi:type="dcterms:W3CDTF">2025-04-22T17:40:32Z</dcterms:modified>
</cp:coreProperties>
</file>